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yys\Documents\コミュニティ\Twitter&amp;Scratch_アカウント所有者リスト\xlsx\"/>
    </mc:Choice>
  </mc:AlternateContent>
  <xr:revisionPtr revIDLastSave="0" documentId="8_{0AE20512-297C-470C-AAD0-8752717B247A}" xr6:coauthVersionLast="47" xr6:coauthVersionMax="47" xr10:uidLastSave="{00000000-0000-0000-0000-000000000000}"/>
  <bookViews>
    <workbookView xWindow="-108" yWindow="-108" windowWidth="23256" windowHeight="12456" xr2:uid="{E0BED85B-D914-4668-94FF-916E3165713D}"/>
  </bookViews>
  <sheets>
    <sheet name="Sheet1" sheetId="1" r:id="rId1"/>
  </sheets>
  <definedNames>
    <definedName name="_xlnm._FilterDatabase" localSheetId="0" hidden="1">Sheet1!$A$1:$X$28</definedName>
    <definedName name="_xlnm.Print_Titles" localSheetId="0">Sheet1!$1:$1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L82" i="1"/>
  <c r="C3" i="1" l="1"/>
  <c r="W202" i="1"/>
  <c r="V202" i="1"/>
  <c r="T202" i="1"/>
  <c r="S202" i="1"/>
  <c r="O202" i="1"/>
  <c r="L202" i="1"/>
  <c r="K202" i="1"/>
  <c r="H202" i="1"/>
  <c r="E202" i="1"/>
  <c r="C202" i="1"/>
  <c r="W201" i="1"/>
  <c r="V201" i="1"/>
  <c r="T201" i="1"/>
  <c r="S201" i="1"/>
  <c r="O201" i="1"/>
  <c r="L201" i="1"/>
  <c r="K201" i="1"/>
  <c r="H201" i="1"/>
  <c r="E201" i="1"/>
  <c r="C201" i="1"/>
  <c r="W200" i="1"/>
  <c r="V200" i="1"/>
  <c r="T200" i="1"/>
  <c r="S200" i="1"/>
  <c r="O200" i="1"/>
  <c r="L200" i="1"/>
  <c r="K200" i="1"/>
  <c r="H200" i="1"/>
  <c r="E200" i="1"/>
  <c r="C200" i="1"/>
  <c r="W199" i="1"/>
  <c r="V199" i="1"/>
  <c r="T199" i="1"/>
  <c r="S199" i="1"/>
  <c r="O199" i="1"/>
  <c r="L199" i="1"/>
  <c r="K199" i="1"/>
  <c r="H199" i="1"/>
  <c r="E199" i="1"/>
  <c r="C199" i="1"/>
  <c r="W198" i="1"/>
  <c r="V198" i="1"/>
  <c r="T198" i="1"/>
  <c r="S198" i="1"/>
  <c r="O198" i="1"/>
  <c r="L198" i="1"/>
  <c r="K198" i="1"/>
  <c r="H198" i="1"/>
  <c r="E198" i="1"/>
  <c r="C198" i="1"/>
  <c r="W197" i="1"/>
  <c r="V197" i="1"/>
  <c r="T197" i="1"/>
  <c r="S197" i="1"/>
  <c r="O197" i="1"/>
  <c r="L197" i="1"/>
  <c r="K197" i="1"/>
  <c r="H197" i="1"/>
  <c r="E197" i="1"/>
  <c r="C197" i="1"/>
  <c r="W196" i="1"/>
  <c r="V196" i="1"/>
  <c r="T196" i="1"/>
  <c r="S196" i="1"/>
  <c r="O196" i="1"/>
  <c r="L196" i="1"/>
  <c r="K196" i="1"/>
  <c r="H196" i="1"/>
  <c r="E196" i="1"/>
  <c r="C196" i="1"/>
  <c r="W195" i="1"/>
  <c r="V195" i="1"/>
  <c r="T195" i="1"/>
  <c r="S195" i="1"/>
  <c r="O195" i="1"/>
  <c r="L195" i="1"/>
  <c r="K195" i="1"/>
  <c r="H195" i="1"/>
  <c r="E195" i="1"/>
  <c r="C195" i="1"/>
  <c r="W194" i="1"/>
  <c r="V194" i="1"/>
  <c r="T194" i="1"/>
  <c r="S194" i="1"/>
  <c r="O194" i="1"/>
  <c r="L194" i="1"/>
  <c r="K194" i="1"/>
  <c r="H194" i="1"/>
  <c r="E194" i="1"/>
  <c r="C194" i="1"/>
  <c r="W193" i="1"/>
  <c r="V193" i="1"/>
  <c r="T193" i="1"/>
  <c r="S193" i="1"/>
  <c r="O193" i="1"/>
  <c r="L193" i="1"/>
  <c r="K193" i="1"/>
  <c r="H193" i="1"/>
  <c r="E193" i="1"/>
  <c r="C193" i="1"/>
  <c r="W192" i="1"/>
  <c r="V192" i="1"/>
  <c r="T192" i="1"/>
  <c r="S192" i="1"/>
  <c r="O192" i="1"/>
  <c r="L192" i="1"/>
  <c r="K192" i="1"/>
  <c r="H192" i="1"/>
  <c r="E192" i="1"/>
  <c r="C192" i="1"/>
  <c r="W191" i="1"/>
  <c r="V191" i="1"/>
  <c r="S191" i="1"/>
  <c r="O191" i="1"/>
  <c r="L191" i="1"/>
  <c r="K191" i="1"/>
  <c r="H191" i="1"/>
  <c r="E191" i="1"/>
  <c r="C191" i="1"/>
  <c r="W190" i="1"/>
  <c r="V190" i="1"/>
  <c r="T190" i="1"/>
  <c r="S190" i="1"/>
  <c r="O190" i="1"/>
  <c r="L190" i="1"/>
  <c r="K190" i="1"/>
  <c r="H190" i="1"/>
  <c r="E190" i="1"/>
  <c r="C190" i="1"/>
  <c r="W189" i="1"/>
  <c r="V189" i="1"/>
  <c r="T189" i="1"/>
  <c r="S189" i="1"/>
  <c r="O189" i="1"/>
  <c r="L189" i="1"/>
  <c r="K189" i="1"/>
  <c r="H189" i="1"/>
  <c r="E189" i="1"/>
  <c r="C189" i="1"/>
  <c r="W188" i="1"/>
  <c r="V188" i="1"/>
  <c r="T188" i="1"/>
  <c r="S188" i="1"/>
  <c r="O188" i="1"/>
  <c r="L188" i="1"/>
  <c r="K188" i="1"/>
  <c r="H188" i="1"/>
  <c r="E188" i="1"/>
  <c r="C188" i="1"/>
  <c r="W187" i="1"/>
  <c r="V187" i="1"/>
  <c r="T187" i="1"/>
  <c r="S187" i="1"/>
  <c r="O187" i="1"/>
  <c r="L187" i="1"/>
  <c r="K187" i="1"/>
  <c r="H187" i="1"/>
  <c r="E187" i="1"/>
  <c r="C187" i="1"/>
  <c r="W186" i="1"/>
  <c r="V186" i="1"/>
  <c r="T186" i="1"/>
  <c r="S186" i="1"/>
  <c r="O186" i="1"/>
  <c r="L186" i="1"/>
  <c r="K186" i="1"/>
  <c r="H186" i="1"/>
  <c r="E186" i="1"/>
  <c r="C186" i="1"/>
  <c r="W185" i="1"/>
  <c r="V185" i="1"/>
  <c r="T185" i="1"/>
  <c r="S185" i="1"/>
  <c r="O185" i="1"/>
  <c r="L185" i="1"/>
  <c r="K185" i="1"/>
  <c r="H185" i="1"/>
  <c r="E185" i="1"/>
  <c r="C185" i="1"/>
  <c r="W184" i="1"/>
  <c r="V184" i="1"/>
  <c r="T184" i="1"/>
  <c r="S184" i="1"/>
  <c r="O184" i="1"/>
  <c r="L184" i="1"/>
  <c r="K184" i="1"/>
  <c r="H184" i="1"/>
  <c r="E184" i="1"/>
  <c r="C184" i="1"/>
  <c r="W183" i="1"/>
  <c r="V183" i="1"/>
  <c r="T183" i="1"/>
  <c r="S183" i="1"/>
  <c r="O183" i="1"/>
  <c r="L183" i="1"/>
  <c r="K183" i="1"/>
  <c r="H183" i="1"/>
  <c r="E183" i="1"/>
  <c r="C183" i="1"/>
  <c r="W182" i="1"/>
  <c r="V182" i="1"/>
  <c r="T182" i="1"/>
  <c r="S182" i="1"/>
  <c r="O182" i="1"/>
  <c r="L182" i="1"/>
  <c r="K182" i="1"/>
  <c r="H182" i="1"/>
  <c r="E182" i="1"/>
  <c r="C182" i="1"/>
  <c r="W181" i="1"/>
  <c r="V181" i="1"/>
  <c r="T181" i="1"/>
  <c r="S181" i="1"/>
  <c r="O181" i="1"/>
  <c r="L181" i="1"/>
  <c r="K181" i="1"/>
  <c r="H181" i="1"/>
  <c r="E181" i="1"/>
  <c r="C181" i="1"/>
  <c r="W180" i="1"/>
  <c r="V180" i="1"/>
  <c r="T180" i="1"/>
  <c r="S180" i="1"/>
  <c r="O180" i="1"/>
  <c r="L180" i="1"/>
  <c r="K180" i="1"/>
  <c r="H180" i="1"/>
  <c r="E180" i="1"/>
  <c r="C180" i="1"/>
  <c r="W179" i="1"/>
  <c r="V179" i="1"/>
  <c r="T179" i="1"/>
  <c r="S179" i="1"/>
  <c r="O179" i="1"/>
  <c r="L179" i="1"/>
  <c r="K179" i="1"/>
  <c r="H179" i="1"/>
  <c r="E179" i="1"/>
  <c r="C179" i="1"/>
  <c r="W178" i="1"/>
  <c r="V178" i="1"/>
  <c r="T178" i="1"/>
  <c r="S178" i="1"/>
  <c r="O178" i="1"/>
  <c r="L178" i="1"/>
  <c r="K178" i="1"/>
  <c r="H178" i="1"/>
  <c r="E178" i="1"/>
  <c r="C178" i="1"/>
  <c r="W177" i="1"/>
  <c r="V177" i="1"/>
  <c r="T177" i="1"/>
  <c r="S177" i="1"/>
  <c r="O177" i="1"/>
  <c r="L177" i="1"/>
  <c r="K177" i="1"/>
  <c r="H177" i="1"/>
  <c r="E177" i="1"/>
  <c r="C177" i="1"/>
  <c r="W176" i="1"/>
  <c r="V176" i="1"/>
  <c r="T176" i="1"/>
  <c r="S176" i="1"/>
  <c r="O176" i="1"/>
  <c r="L176" i="1"/>
  <c r="K176" i="1"/>
  <c r="H176" i="1"/>
  <c r="E176" i="1"/>
  <c r="C176" i="1"/>
  <c r="W175" i="1"/>
  <c r="V175" i="1"/>
  <c r="T175" i="1"/>
  <c r="S175" i="1"/>
  <c r="O175" i="1"/>
  <c r="L175" i="1"/>
  <c r="K175" i="1"/>
  <c r="H175" i="1"/>
  <c r="E175" i="1"/>
  <c r="C175" i="1"/>
  <c r="W174" i="1"/>
  <c r="V174" i="1"/>
  <c r="T174" i="1"/>
  <c r="S174" i="1"/>
  <c r="O174" i="1"/>
  <c r="L174" i="1"/>
  <c r="K174" i="1"/>
  <c r="H174" i="1"/>
  <c r="E174" i="1"/>
  <c r="C174" i="1"/>
  <c r="W173" i="1"/>
  <c r="V173" i="1"/>
  <c r="T173" i="1"/>
  <c r="S173" i="1"/>
  <c r="O173" i="1"/>
  <c r="L173" i="1"/>
  <c r="K173" i="1"/>
  <c r="H173" i="1"/>
  <c r="E173" i="1"/>
  <c r="C173" i="1"/>
  <c r="W172" i="1"/>
  <c r="V172" i="1"/>
  <c r="T172" i="1"/>
  <c r="S172" i="1"/>
  <c r="O172" i="1"/>
  <c r="L172" i="1"/>
  <c r="K172" i="1"/>
  <c r="H172" i="1"/>
  <c r="E172" i="1"/>
  <c r="C172" i="1"/>
  <c r="W171" i="1"/>
  <c r="V171" i="1"/>
  <c r="T171" i="1"/>
  <c r="S171" i="1"/>
  <c r="O171" i="1"/>
  <c r="L171" i="1"/>
  <c r="K171" i="1"/>
  <c r="H171" i="1"/>
  <c r="E171" i="1"/>
  <c r="C171" i="1"/>
  <c r="W170" i="1"/>
  <c r="V170" i="1"/>
  <c r="T170" i="1"/>
  <c r="S170" i="1"/>
  <c r="O170" i="1"/>
  <c r="L170" i="1"/>
  <c r="K170" i="1"/>
  <c r="H170" i="1"/>
  <c r="E170" i="1"/>
  <c r="C170" i="1"/>
  <c r="W169" i="1"/>
  <c r="V169" i="1"/>
  <c r="T169" i="1"/>
  <c r="S169" i="1"/>
  <c r="O169" i="1"/>
  <c r="L169" i="1"/>
  <c r="K169" i="1"/>
  <c r="H169" i="1"/>
  <c r="E169" i="1"/>
  <c r="C169" i="1"/>
  <c r="W168" i="1"/>
  <c r="V168" i="1"/>
  <c r="T168" i="1"/>
  <c r="S168" i="1"/>
  <c r="O168" i="1"/>
  <c r="L168" i="1"/>
  <c r="K168" i="1"/>
  <c r="H168" i="1"/>
  <c r="E168" i="1"/>
  <c r="C168" i="1"/>
  <c r="W167" i="1"/>
  <c r="V167" i="1"/>
  <c r="T167" i="1"/>
  <c r="S167" i="1"/>
  <c r="O167" i="1"/>
  <c r="L167" i="1"/>
  <c r="K167" i="1"/>
  <c r="H167" i="1"/>
  <c r="E167" i="1"/>
  <c r="C167" i="1"/>
  <c r="W166" i="1"/>
  <c r="V166" i="1"/>
  <c r="T166" i="1"/>
  <c r="S166" i="1"/>
  <c r="O166" i="1"/>
  <c r="L166" i="1"/>
  <c r="K166" i="1"/>
  <c r="H166" i="1"/>
  <c r="E166" i="1"/>
  <c r="C166" i="1"/>
  <c r="W165" i="1"/>
  <c r="V165" i="1"/>
  <c r="T165" i="1"/>
  <c r="S165" i="1"/>
  <c r="O165" i="1"/>
  <c r="L165" i="1"/>
  <c r="K165" i="1"/>
  <c r="H165" i="1"/>
  <c r="E165" i="1"/>
  <c r="C165" i="1"/>
  <c r="W164" i="1"/>
  <c r="V164" i="1"/>
  <c r="T164" i="1"/>
  <c r="S164" i="1"/>
  <c r="O164" i="1"/>
  <c r="L164" i="1"/>
  <c r="K164" i="1"/>
  <c r="H164" i="1"/>
  <c r="E164" i="1"/>
  <c r="C164" i="1"/>
  <c r="W163" i="1"/>
  <c r="V163" i="1"/>
  <c r="T163" i="1"/>
  <c r="S163" i="1"/>
  <c r="O163" i="1"/>
  <c r="L163" i="1"/>
  <c r="K163" i="1"/>
  <c r="H163" i="1"/>
  <c r="E163" i="1"/>
  <c r="C163" i="1"/>
  <c r="W162" i="1"/>
  <c r="V162" i="1"/>
  <c r="T162" i="1"/>
  <c r="S162" i="1"/>
  <c r="O162" i="1"/>
  <c r="L162" i="1"/>
  <c r="K162" i="1"/>
  <c r="H162" i="1"/>
  <c r="E162" i="1"/>
  <c r="C162" i="1"/>
  <c r="W161" i="1"/>
  <c r="V161" i="1"/>
  <c r="T161" i="1"/>
  <c r="S161" i="1"/>
  <c r="O161" i="1"/>
  <c r="L161" i="1"/>
  <c r="K161" i="1"/>
  <c r="H161" i="1"/>
  <c r="E161" i="1"/>
  <c r="C161" i="1"/>
  <c r="W160" i="1"/>
  <c r="V160" i="1"/>
  <c r="T160" i="1"/>
  <c r="S160" i="1"/>
  <c r="O160" i="1"/>
  <c r="L160" i="1"/>
  <c r="K160" i="1"/>
  <c r="H160" i="1"/>
  <c r="E160" i="1"/>
  <c r="C160" i="1"/>
  <c r="W159" i="1"/>
  <c r="V159" i="1"/>
  <c r="T159" i="1"/>
  <c r="S159" i="1"/>
  <c r="O159" i="1"/>
  <c r="L159" i="1"/>
  <c r="K159" i="1"/>
  <c r="H159" i="1"/>
  <c r="E159" i="1"/>
  <c r="C159" i="1"/>
  <c r="W158" i="1"/>
  <c r="V158" i="1"/>
  <c r="T158" i="1"/>
  <c r="S158" i="1"/>
  <c r="O158" i="1"/>
  <c r="L158" i="1"/>
  <c r="K158" i="1"/>
  <c r="H158" i="1"/>
  <c r="E158" i="1"/>
  <c r="C158" i="1"/>
  <c r="W157" i="1"/>
  <c r="V157" i="1"/>
  <c r="T157" i="1"/>
  <c r="S157" i="1"/>
  <c r="O157" i="1"/>
  <c r="L157" i="1"/>
  <c r="K157" i="1"/>
  <c r="H157" i="1"/>
  <c r="E157" i="1"/>
  <c r="C157" i="1"/>
  <c r="W156" i="1"/>
  <c r="V156" i="1"/>
  <c r="T156" i="1"/>
  <c r="S156" i="1"/>
  <c r="O156" i="1"/>
  <c r="L156" i="1"/>
  <c r="K156" i="1"/>
  <c r="H156" i="1"/>
  <c r="E156" i="1"/>
  <c r="C156" i="1"/>
  <c r="W155" i="1"/>
  <c r="V155" i="1"/>
  <c r="T155" i="1"/>
  <c r="S155" i="1"/>
  <c r="O155" i="1"/>
  <c r="L155" i="1"/>
  <c r="K155" i="1"/>
  <c r="H155" i="1"/>
  <c r="E155" i="1"/>
  <c r="C155" i="1"/>
  <c r="W154" i="1"/>
  <c r="V154" i="1"/>
  <c r="T154" i="1"/>
  <c r="S154" i="1"/>
  <c r="O154" i="1"/>
  <c r="L154" i="1"/>
  <c r="K154" i="1"/>
  <c r="H154" i="1"/>
  <c r="E154" i="1"/>
  <c r="C154" i="1"/>
  <c r="W153" i="1"/>
  <c r="V153" i="1"/>
  <c r="T153" i="1"/>
  <c r="S153" i="1"/>
  <c r="O153" i="1"/>
  <c r="L153" i="1"/>
  <c r="K153" i="1"/>
  <c r="H153" i="1"/>
  <c r="E153" i="1"/>
  <c r="C153" i="1"/>
  <c r="W152" i="1"/>
  <c r="V152" i="1"/>
  <c r="T152" i="1"/>
  <c r="S152" i="1"/>
  <c r="O152" i="1"/>
  <c r="L152" i="1"/>
  <c r="K152" i="1"/>
  <c r="H152" i="1"/>
  <c r="E152" i="1"/>
  <c r="C152" i="1"/>
  <c r="W151" i="1"/>
  <c r="V151" i="1"/>
  <c r="T151" i="1"/>
  <c r="S151" i="1"/>
  <c r="O151" i="1"/>
  <c r="L151" i="1"/>
  <c r="K151" i="1"/>
  <c r="H151" i="1"/>
  <c r="E151" i="1"/>
  <c r="C151" i="1"/>
  <c r="W150" i="1"/>
  <c r="V150" i="1"/>
  <c r="T150" i="1"/>
  <c r="S150" i="1"/>
  <c r="O150" i="1"/>
  <c r="L150" i="1"/>
  <c r="K150" i="1"/>
  <c r="H150" i="1"/>
  <c r="E150" i="1"/>
  <c r="C150" i="1"/>
  <c r="W149" i="1"/>
  <c r="V149" i="1"/>
  <c r="T149" i="1"/>
  <c r="S149" i="1"/>
  <c r="O149" i="1"/>
  <c r="L149" i="1"/>
  <c r="K149" i="1"/>
  <c r="H149" i="1"/>
  <c r="E149" i="1"/>
  <c r="C149" i="1"/>
  <c r="W148" i="1"/>
  <c r="V148" i="1"/>
  <c r="T148" i="1"/>
  <c r="S148" i="1"/>
  <c r="O148" i="1"/>
  <c r="L148" i="1"/>
  <c r="K148" i="1"/>
  <c r="H148" i="1"/>
  <c r="E148" i="1"/>
  <c r="C148" i="1"/>
  <c r="W147" i="1"/>
  <c r="V147" i="1"/>
  <c r="T147" i="1"/>
  <c r="S147" i="1"/>
  <c r="O147" i="1"/>
  <c r="L147" i="1"/>
  <c r="K147" i="1"/>
  <c r="H147" i="1"/>
  <c r="E147" i="1"/>
  <c r="C147" i="1"/>
  <c r="W146" i="1"/>
  <c r="V146" i="1"/>
  <c r="T146" i="1"/>
  <c r="S146" i="1"/>
  <c r="O146" i="1"/>
  <c r="L146" i="1"/>
  <c r="K146" i="1"/>
  <c r="H146" i="1"/>
  <c r="E146" i="1"/>
  <c r="C146" i="1"/>
  <c r="W145" i="1"/>
  <c r="V145" i="1"/>
  <c r="T145" i="1"/>
  <c r="S145" i="1"/>
  <c r="O145" i="1"/>
  <c r="L145" i="1"/>
  <c r="K145" i="1"/>
  <c r="H145" i="1"/>
  <c r="E145" i="1"/>
  <c r="C145" i="1"/>
  <c r="W144" i="1"/>
  <c r="V144" i="1"/>
  <c r="T144" i="1"/>
  <c r="S144" i="1"/>
  <c r="O144" i="1"/>
  <c r="L144" i="1"/>
  <c r="K144" i="1"/>
  <c r="H144" i="1"/>
  <c r="E144" i="1"/>
  <c r="C144" i="1"/>
  <c r="W143" i="1"/>
  <c r="V143" i="1"/>
  <c r="T143" i="1"/>
  <c r="S143" i="1"/>
  <c r="O143" i="1"/>
  <c r="L143" i="1"/>
  <c r="K143" i="1"/>
  <c r="H143" i="1"/>
  <c r="E143" i="1"/>
  <c r="C143" i="1"/>
  <c r="W142" i="1"/>
  <c r="V142" i="1"/>
  <c r="S142" i="1"/>
  <c r="O142" i="1"/>
  <c r="L142" i="1"/>
  <c r="K142" i="1"/>
  <c r="H142" i="1"/>
  <c r="E142" i="1"/>
  <c r="C142" i="1"/>
  <c r="W141" i="1"/>
  <c r="V141" i="1"/>
  <c r="T141" i="1"/>
  <c r="S141" i="1"/>
  <c r="O141" i="1"/>
  <c r="L141" i="1"/>
  <c r="K141" i="1"/>
  <c r="H141" i="1"/>
  <c r="E141" i="1"/>
  <c r="C141" i="1"/>
  <c r="W140" i="1"/>
  <c r="V140" i="1"/>
  <c r="T140" i="1"/>
  <c r="S140" i="1"/>
  <c r="O140" i="1"/>
  <c r="L140" i="1"/>
  <c r="K140" i="1"/>
  <c r="H140" i="1"/>
  <c r="E140" i="1"/>
  <c r="C140" i="1"/>
  <c r="W139" i="1"/>
  <c r="V139" i="1"/>
  <c r="T139" i="1"/>
  <c r="S139" i="1"/>
  <c r="O139" i="1"/>
  <c r="L139" i="1"/>
  <c r="K139" i="1"/>
  <c r="H139" i="1"/>
  <c r="E139" i="1"/>
  <c r="C139" i="1"/>
  <c r="W138" i="1"/>
  <c r="V138" i="1"/>
  <c r="T138" i="1"/>
  <c r="S138" i="1"/>
  <c r="O138" i="1"/>
  <c r="L138" i="1"/>
  <c r="K138" i="1"/>
  <c r="H138" i="1"/>
  <c r="E138" i="1"/>
  <c r="C138" i="1"/>
  <c r="W137" i="1"/>
  <c r="V137" i="1"/>
  <c r="T137" i="1"/>
  <c r="S137" i="1"/>
  <c r="O137" i="1"/>
  <c r="L137" i="1"/>
  <c r="K137" i="1"/>
  <c r="H137" i="1"/>
  <c r="E137" i="1"/>
  <c r="C137" i="1"/>
  <c r="W136" i="1"/>
  <c r="V136" i="1"/>
  <c r="T136" i="1"/>
  <c r="S136" i="1"/>
  <c r="O136" i="1"/>
  <c r="L136" i="1"/>
  <c r="K136" i="1"/>
  <c r="H136" i="1"/>
  <c r="E136" i="1"/>
  <c r="C136" i="1"/>
  <c r="W135" i="1"/>
  <c r="V135" i="1"/>
  <c r="T135" i="1"/>
  <c r="S135" i="1"/>
  <c r="O135" i="1"/>
  <c r="L135" i="1"/>
  <c r="K135" i="1"/>
  <c r="H135" i="1"/>
  <c r="E135" i="1"/>
  <c r="C135" i="1"/>
  <c r="W134" i="1"/>
  <c r="V134" i="1"/>
  <c r="T134" i="1"/>
  <c r="S134" i="1"/>
  <c r="O134" i="1"/>
  <c r="L134" i="1"/>
  <c r="K134" i="1"/>
  <c r="H134" i="1"/>
  <c r="E134" i="1"/>
  <c r="C134" i="1"/>
  <c r="W133" i="1"/>
  <c r="V133" i="1"/>
  <c r="T133" i="1"/>
  <c r="S133" i="1"/>
  <c r="O133" i="1"/>
  <c r="L133" i="1"/>
  <c r="K133" i="1"/>
  <c r="H133" i="1"/>
  <c r="E133" i="1"/>
  <c r="C133" i="1"/>
  <c r="W132" i="1"/>
  <c r="V132" i="1"/>
  <c r="T132" i="1"/>
  <c r="S132" i="1"/>
  <c r="O132" i="1"/>
  <c r="L132" i="1"/>
  <c r="K132" i="1"/>
  <c r="H132" i="1"/>
  <c r="E132" i="1"/>
  <c r="C132" i="1"/>
  <c r="W131" i="1"/>
  <c r="V131" i="1"/>
  <c r="T131" i="1"/>
  <c r="S131" i="1"/>
  <c r="O131" i="1"/>
  <c r="L131" i="1"/>
  <c r="K131" i="1"/>
  <c r="H131" i="1"/>
  <c r="E131" i="1"/>
  <c r="C131" i="1"/>
  <c r="W130" i="1"/>
  <c r="V130" i="1"/>
  <c r="T130" i="1"/>
  <c r="S130" i="1"/>
  <c r="O130" i="1"/>
  <c r="L130" i="1"/>
  <c r="K130" i="1"/>
  <c r="H130" i="1"/>
  <c r="E130" i="1"/>
  <c r="C130" i="1"/>
  <c r="W129" i="1"/>
  <c r="V129" i="1"/>
  <c r="T129" i="1"/>
  <c r="S129" i="1"/>
  <c r="O129" i="1"/>
  <c r="L129" i="1"/>
  <c r="K129" i="1"/>
  <c r="H129" i="1"/>
  <c r="E129" i="1"/>
  <c r="C129" i="1"/>
  <c r="W128" i="1"/>
  <c r="V128" i="1"/>
  <c r="T128" i="1"/>
  <c r="S128" i="1"/>
  <c r="O128" i="1"/>
  <c r="L128" i="1"/>
  <c r="K128" i="1"/>
  <c r="H128" i="1"/>
  <c r="E128" i="1"/>
  <c r="C128" i="1"/>
  <c r="W127" i="1"/>
  <c r="V127" i="1"/>
  <c r="T127" i="1"/>
  <c r="S127" i="1"/>
  <c r="O127" i="1"/>
  <c r="L127" i="1"/>
  <c r="K127" i="1"/>
  <c r="H127" i="1"/>
  <c r="E127" i="1"/>
  <c r="C127" i="1"/>
  <c r="W126" i="1"/>
  <c r="V126" i="1"/>
  <c r="T126" i="1"/>
  <c r="S126" i="1"/>
  <c r="O126" i="1"/>
  <c r="L126" i="1"/>
  <c r="K126" i="1"/>
  <c r="H126" i="1"/>
  <c r="E126" i="1"/>
  <c r="C126" i="1"/>
  <c r="W125" i="1"/>
  <c r="V125" i="1"/>
  <c r="T125" i="1"/>
  <c r="S125" i="1"/>
  <c r="O125" i="1"/>
  <c r="L125" i="1"/>
  <c r="K125" i="1"/>
  <c r="H125" i="1"/>
  <c r="E125" i="1"/>
  <c r="C125" i="1"/>
  <c r="W124" i="1"/>
  <c r="V124" i="1"/>
  <c r="T124" i="1"/>
  <c r="S124" i="1"/>
  <c r="O124" i="1"/>
  <c r="L124" i="1"/>
  <c r="K124" i="1"/>
  <c r="H124" i="1"/>
  <c r="E124" i="1"/>
  <c r="C124" i="1"/>
  <c r="W123" i="1"/>
  <c r="V123" i="1"/>
  <c r="T123" i="1"/>
  <c r="S123" i="1"/>
  <c r="O123" i="1"/>
  <c r="L123" i="1"/>
  <c r="K123" i="1"/>
  <c r="H123" i="1"/>
  <c r="E123" i="1"/>
  <c r="C123" i="1"/>
  <c r="W122" i="1"/>
  <c r="V122" i="1"/>
  <c r="T122" i="1"/>
  <c r="S122" i="1"/>
  <c r="O122" i="1"/>
  <c r="L122" i="1"/>
  <c r="K122" i="1"/>
  <c r="H122" i="1"/>
  <c r="E122" i="1"/>
  <c r="C122" i="1"/>
  <c r="W121" i="1"/>
  <c r="V121" i="1"/>
  <c r="T121" i="1"/>
  <c r="S121" i="1"/>
  <c r="O121" i="1"/>
  <c r="L121" i="1"/>
  <c r="K121" i="1"/>
  <c r="H121" i="1"/>
  <c r="E121" i="1"/>
  <c r="C121" i="1"/>
  <c r="W120" i="1"/>
  <c r="V120" i="1"/>
  <c r="T120" i="1"/>
  <c r="S120" i="1"/>
  <c r="O120" i="1"/>
  <c r="L120" i="1"/>
  <c r="K120" i="1"/>
  <c r="H120" i="1"/>
  <c r="E120" i="1"/>
  <c r="C120" i="1"/>
  <c r="W119" i="1"/>
  <c r="V119" i="1"/>
  <c r="T119" i="1"/>
  <c r="S119" i="1"/>
  <c r="O119" i="1"/>
  <c r="L119" i="1"/>
  <c r="K119" i="1"/>
  <c r="H119" i="1"/>
  <c r="E119" i="1"/>
  <c r="C119" i="1"/>
  <c r="W118" i="1"/>
  <c r="V118" i="1"/>
  <c r="T118" i="1"/>
  <c r="S118" i="1"/>
  <c r="O118" i="1"/>
  <c r="L118" i="1"/>
  <c r="K118" i="1"/>
  <c r="H118" i="1"/>
  <c r="E118" i="1"/>
  <c r="C118" i="1"/>
  <c r="W117" i="1"/>
  <c r="V117" i="1"/>
  <c r="T117" i="1"/>
  <c r="S117" i="1"/>
  <c r="O117" i="1"/>
  <c r="L117" i="1"/>
  <c r="K117" i="1"/>
  <c r="H117" i="1"/>
  <c r="E117" i="1"/>
  <c r="C117" i="1"/>
  <c r="W116" i="1"/>
  <c r="V116" i="1"/>
  <c r="T116" i="1"/>
  <c r="S116" i="1"/>
  <c r="O116" i="1"/>
  <c r="L116" i="1"/>
  <c r="K116" i="1"/>
  <c r="H116" i="1"/>
  <c r="E116" i="1"/>
  <c r="C116" i="1"/>
  <c r="W115" i="1"/>
  <c r="V115" i="1"/>
  <c r="T115" i="1"/>
  <c r="S115" i="1"/>
  <c r="O115" i="1"/>
  <c r="L115" i="1"/>
  <c r="K115" i="1"/>
  <c r="H115" i="1"/>
  <c r="E115" i="1"/>
  <c r="C115" i="1"/>
  <c r="W114" i="1"/>
  <c r="V114" i="1"/>
  <c r="T114" i="1"/>
  <c r="S114" i="1"/>
  <c r="O114" i="1"/>
  <c r="L114" i="1"/>
  <c r="K114" i="1"/>
  <c r="H114" i="1"/>
  <c r="E114" i="1"/>
  <c r="C114" i="1"/>
  <c r="W113" i="1"/>
  <c r="V113" i="1"/>
  <c r="T113" i="1"/>
  <c r="S113" i="1"/>
  <c r="O113" i="1"/>
  <c r="L113" i="1"/>
  <c r="K113" i="1"/>
  <c r="H113" i="1"/>
  <c r="E113" i="1"/>
  <c r="C113" i="1"/>
  <c r="W112" i="1"/>
  <c r="V112" i="1"/>
  <c r="T112" i="1"/>
  <c r="S112" i="1"/>
  <c r="O112" i="1"/>
  <c r="L112" i="1"/>
  <c r="K112" i="1"/>
  <c r="H112" i="1"/>
  <c r="E112" i="1"/>
  <c r="C112" i="1"/>
  <c r="W111" i="1"/>
  <c r="V111" i="1"/>
  <c r="T111" i="1"/>
  <c r="S111" i="1"/>
  <c r="O111" i="1"/>
  <c r="L111" i="1"/>
  <c r="K111" i="1"/>
  <c r="H111" i="1"/>
  <c r="E111" i="1"/>
  <c r="C111" i="1"/>
  <c r="W110" i="1"/>
  <c r="V110" i="1"/>
  <c r="T110" i="1"/>
  <c r="S110" i="1"/>
  <c r="O110" i="1"/>
  <c r="L110" i="1"/>
  <c r="K110" i="1"/>
  <c r="H110" i="1"/>
  <c r="E110" i="1"/>
  <c r="C110" i="1"/>
  <c r="W109" i="1"/>
  <c r="V109" i="1"/>
  <c r="T109" i="1"/>
  <c r="S109" i="1"/>
  <c r="O109" i="1"/>
  <c r="L109" i="1"/>
  <c r="K109" i="1"/>
  <c r="H109" i="1"/>
  <c r="E109" i="1"/>
  <c r="C109" i="1"/>
  <c r="W108" i="1"/>
  <c r="V108" i="1"/>
  <c r="T108" i="1"/>
  <c r="S108" i="1"/>
  <c r="O108" i="1"/>
  <c r="L108" i="1"/>
  <c r="K108" i="1"/>
  <c r="H108" i="1"/>
  <c r="E108" i="1"/>
  <c r="C108" i="1"/>
  <c r="W107" i="1"/>
  <c r="V107" i="1"/>
  <c r="T107" i="1"/>
  <c r="S107" i="1"/>
  <c r="O107" i="1"/>
  <c r="L107" i="1"/>
  <c r="K107" i="1"/>
  <c r="H107" i="1"/>
  <c r="E107" i="1"/>
  <c r="C107" i="1"/>
  <c r="W106" i="1"/>
  <c r="V106" i="1"/>
  <c r="T106" i="1"/>
  <c r="S106" i="1"/>
  <c r="O106" i="1"/>
  <c r="L106" i="1"/>
  <c r="K106" i="1"/>
  <c r="H106" i="1"/>
  <c r="E106" i="1"/>
  <c r="C106" i="1"/>
  <c r="W105" i="1"/>
  <c r="V105" i="1"/>
  <c r="T105" i="1"/>
  <c r="S105" i="1"/>
  <c r="O105" i="1"/>
  <c r="L105" i="1"/>
  <c r="K105" i="1"/>
  <c r="H105" i="1"/>
  <c r="E105" i="1"/>
  <c r="C105" i="1"/>
  <c r="W104" i="1"/>
  <c r="V104" i="1"/>
  <c r="T104" i="1"/>
  <c r="S104" i="1"/>
  <c r="O104" i="1"/>
  <c r="L104" i="1"/>
  <c r="K104" i="1"/>
  <c r="H104" i="1"/>
  <c r="E104" i="1"/>
  <c r="C104" i="1"/>
  <c r="W103" i="1"/>
  <c r="V103" i="1"/>
  <c r="T103" i="1"/>
  <c r="S103" i="1"/>
  <c r="O103" i="1"/>
  <c r="L103" i="1"/>
  <c r="K103" i="1"/>
  <c r="H103" i="1"/>
  <c r="E103" i="1"/>
  <c r="C103" i="1"/>
  <c r="W102" i="1"/>
  <c r="V102" i="1"/>
  <c r="T102" i="1"/>
  <c r="S102" i="1"/>
  <c r="O102" i="1"/>
  <c r="L102" i="1"/>
  <c r="K102" i="1"/>
  <c r="H102" i="1"/>
  <c r="E102" i="1"/>
  <c r="C102" i="1"/>
  <c r="W101" i="1"/>
  <c r="V101" i="1"/>
  <c r="T101" i="1"/>
  <c r="S101" i="1"/>
  <c r="O101" i="1"/>
  <c r="L101" i="1"/>
  <c r="K101" i="1"/>
  <c r="H101" i="1"/>
  <c r="E101" i="1"/>
  <c r="C101" i="1"/>
  <c r="W100" i="1"/>
  <c r="V100" i="1"/>
  <c r="T100" i="1"/>
  <c r="S100" i="1"/>
  <c r="O100" i="1"/>
  <c r="L100" i="1"/>
  <c r="K100" i="1"/>
  <c r="H100" i="1"/>
  <c r="E100" i="1"/>
  <c r="C100" i="1"/>
  <c r="W99" i="1"/>
  <c r="V99" i="1"/>
  <c r="T99" i="1"/>
  <c r="S99" i="1"/>
  <c r="O99" i="1"/>
  <c r="L99" i="1"/>
  <c r="K99" i="1"/>
  <c r="H99" i="1"/>
  <c r="E99" i="1"/>
  <c r="C99" i="1"/>
  <c r="W98" i="1"/>
  <c r="V98" i="1"/>
  <c r="T98" i="1"/>
  <c r="S98" i="1"/>
  <c r="O98" i="1"/>
  <c r="L98" i="1"/>
  <c r="K98" i="1"/>
  <c r="H98" i="1"/>
  <c r="E98" i="1"/>
  <c r="C98" i="1"/>
  <c r="W97" i="1"/>
  <c r="V97" i="1"/>
  <c r="T97" i="1"/>
  <c r="S97" i="1"/>
  <c r="O97" i="1"/>
  <c r="L97" i="1"/>
  <c r="K97" i="1"/>
  <c r="H97" i="1"/>
  <c r="E97" i="1"/>
  <c r="C97" i="1"/>
  <c r="W96" i="1"/>
  <c r="V96" i="1"/>
  <c r="T96" i="1"/>
  <c r="S96" i="1"/>
  <c r="O96" i="1"/>
  <c r="L96" i="1"/>
  <c r="K96" i="1"/>
  <c r="H96" i="1"/>
  <c r="E96" i="1"/>
  <c r="C96" i="1"/>
  <c r="W95" i="1"/>
  <c r="V95" i="1"/>
  <c r="T95" i="1"/>
  <c r="S95" i="1"/>
  <c r="O95" i="1"/>
  <c r="L95" i="1"/>
  <c r="K95" i="1"/>
  <c r="H95" i="1"/>
  <c r="E95" i="1"/>
  <c r="C95" i="1"/>
  <c r="W94" i="1"/>
  <c r="V94" i="1"/>
  <c r="T94" i="1"/>
  <c r="S94" i="1"/>
  <c r="O94" i="1"/>
  <c r="L94" i="1"/>
  <c r="K94" i="1"/>
  <c r="H94" i="1"/>
  <c r="E94" i="1"/>
  <c r="C94" i="1"/>
  <c r="W93" i="1"/>
  <c r="V93" i="1"/>
  <c r="T93" i="1"/>
  <c r="S93" i="1"/>
  <c r="O93" i="1"/>
  <c r="L93" i="1"/>
  <c r="K93" i="1"/>
  <c r="H93" i="1"/>
  <c r="E93" i="1"/>
  <c r="C93" i="1"/>
  <c r="W92" i="1"/>
  <c r="V92" i="1"/>
  <c r="T92" i="1"/>
  <c r="S92" i="1"/>
  <c r="O92" i="1"/>
  <c r="L92" i="1"/>
  <c r="K92" i="1"/>
  <c r="H92" i="1"/>
  <c r="E92" i="1"/>
  <c r="C92" i="1"/>
  <c r="W91" i="1"/>
  <c r="V91" i="1"/>
  <c r="T91" i="1"/>
  <c r="S91" i="1"/>
  <c r="O91" i="1"/>
  <c r="L91" i="1"/>
  <c r="K91" i="1"/>
  <c r="H91" i="1"/>
  <c r="E91" i="1"/>
  <c r="C91" i="1"/>
  <c r="W90" i="1"/>
  <c r="V90" i="1"/>
  <c r="T90" i="1"/>
  <c r="S90" i="1"/>
  <c r="O90" i="1"/>
  <c r="L90" i="1"/>
  <c r="K90" i="1"/>
  <c r="H90" i="1"/>
  <c r="E90" i="1"/>
  <c r="C90" i="1"/>
  <c r="W89" i="1"/>
  <c r="V89" i="1"/>
  <c r="T89" i="1"/>
  <c r="S89" i="1"/>
  <c r="O89" i="1"/>
  <c r="L89" i="1"/>
  <c r="K89" i="1"/>
  <c r="H89" i="1"/>
  <c r="E89" i="1"/>
  <c r="C89" i="1"/>
  <c r="W88" i="1"/>
  <c r="V88" i="1"/>
  <c r="T88" i="1"/>
  <c r="S88" i="1"/>
  <c r="O88" i="1"/>
  <c r="L88" i="1"/>
  <c r="K88" i="1"/>
  <c r="H88" i="1"/>
  <c r="E88" i="1"/>
  <c r="C88" i="1"/>
  <c r="W87" i="1"/>
  <c r="V87" i="1"/>
  <c r="T87" i="1"/>
  <c r="S87" i="1"/>
  <c r="O87" i="1"/>
  <c r="L87" i="1"/>
  <c r="K87" i="1"/>
  <c r="H87" i="1"/>
  <c r="E87" i="1"/>
  <c r="C87" i="1"/>
  <c r="W86" i="1"/>
  <c r="V86" i="1"/>
  <c r="T86" i="1"/>
  <c r="S86" i="1"/>
  <c r="O86" i="1"/>
  <c r="L86" i="1"/>
  <c r="K86" i="1"/>
  <c r="H86" i="1"/>
  <c r="E86" i="1"/>
  <c r="C86" i="1"/>
  <c r="W85" i="1"/>
  <c r="V85" i="1"/>
  <c r="T85" i="1"/>
  <c r="S85" i="1"/>
  <c r="O85" i="1"/>
  <c r="L85" i="1"/>
  <c r="K85" i="1"/>
  <c r="H85" i="1"/>
  <c r="E85" i="1"/>
  <c r="C85" i="1"/>
  <c r="W84" i="1"/>
  <c r="V84" i="1"/>
  <c r="T84" i="1"/>
  <c r="S84" i="1"/>
  <c r="O84" i="1"/>
  <c r="L84" i="1"/>
  <c r="K84" i="1"/>
  <c r="H84" i="1"/>
  <c r="E84" i="1"/>
  <c r="C84" i="1"/>
  <c r="W83" i="1"/>
  <c r="V83" i="1"/>
  <c r="T83" i="1"/>
  <c r="S83" i="1"/>
  <c r="O83" i="1"/>
  <c r="L83" i="1"/>
  <c r="K83" i="1"/>
  <c r="H83" i="1"/>
  <c r="E83" i="1"/>
  <c r="C83" i="1"/>
  <c r="W82" i="1"/>
  <c r="T82" i="1"/>
  <c r="O82" i="1"/>
  <c r="K82" i="1"/>
  <c r="S82" i="1" s="1"/>
  <c r="H82" i="1"/>
  <c r="E82" i="1"/>
  <c r="C82" i="1"/>
  <c r="W81" i="1"/>
  <c r="V81" i="1"/>
  <c r="T81" i="1"/>
  <c r="S81" i="1"/>
  <c r="O81" i="1"/>
  <c r="L81" i="1"/>
  <c r="K81" i="1"/>
  <c r="H81" i="1"/>
  <c r="E81" i="1"/>
  <c r="C81" i="1"/>
  <c r="W80" i="1"/>
  <c r="V80" i="1"/>
  <c r="T80" i="1"/>
  <c r="S80" i="1"/>
  <c r="O80" i="1"/>
  <c r="L80" i="1"/>
  <c r="K80" i="1"/>
  <c r="H80" i="1"/>
  <c r="E80" i="1"/>
  <c r="C80" i="1"/>
  <c r="W79" i="1"/>
  <c r="V79" i="1"/>
  <c r="T79" i="1"/>
  <c r="S79" i="1"/>
  <c r="O79" i="1"/>
  <c r="L79" i="1"/>
  <c r="K79" i="1"/>
  <c r="H79" i="1"/>
  <c r="E79" i="1"/>
  <c r="C79" i="1"/>
  <c r="W78" i="1"/>
  <c r="V78" i="1"/>
  <c r="T78" i="1"/>
  <c r="S78" i="1"/>
  <c r="O78" i="1"/>
  <c r="L78" i="1"/>
  <c r="K78" i="1"/>
  <c r="H78" i="1"/>
  <c r="E78" i="1"/>
  <c r="C78" i="1"/>
  <c r="W77" i="1"/>
  <c r="V77" i="1"/>
  <c r="T77" i="1"/>
  <c r="S77" i="1"/>
  <c r="O77" i="1"/>
  <c r="L77" i="1"/>
  <c r="K77" i="1"/>
  <c r="H77" i="1"/>
  <c r="E77" i="1"/>
  <c r="C77" i="1"/>
  <c r="W76" i="1"/>
  <c r="V76" i="1"/>
  <c r="T76" i="1"/>
  <c r="S76" i="1"/>
  <c r="O76" i="1"/>
  <c r="L76" i="1"/>
  <c r="K76" i="1"/>
  <c r="H76" i="1"/>
  <c r="E76" i="1"/>
  <c r="C76" i="1"/>
  <c r="W75" i="1"/>
  <c r="V75" i="1"/>
  <c r="T75" i="1"/>
  <c r="S75" i="1"/>
  <c r="O75" i="1"/>
  <c r="L75" i="1"/>
  <c r="K75" i="1"/>
  <c r="H75" i="1"/>
  <c r="E75" i="1"/>
  <c r="C75" i="1"/>
  <c r="W74" i="1"/>
  <c r="V74" i="1"/>
  <c r="T74" i="1"/>
  <c r="S74" i="1"/>
  <c r="O74" i="1"/>
  <c r="L74" i="1"/>
  <c r="K74" i="1"/>
  <c r="H74" i="1"/>
  <c r="E74" i="1"/>
  <c r="C74" i="1"/>
  <c r="W73" i="1"/>
  <c r="V73" i="1"/>
  <c r="T73" i="1"/>
  <c r="S73" i="1"/>
  <c r="O73" i="1"/>
  <c r="L73" i="1"/>
  <c r="K73" i="1"/>
  <c r="H73" i="1"/>
  <c r="E73" i="1"/>
  <c r="C73" i="1"/>
  <c r="W72" i="1"/>
  <c r="V72" i="1"/>
  <c r="T72" i="1"/>
  <c r="S72" i="1"/>
  <c r="O72" i="1"/>
  <c r="L72" i="1"/>
  <c r="K72" i="1"/>
  <c r="H72" i="1"/>
  <c r="E72" i="1"/>
  <c r="C72" i="1"/>
  <c r="W71" i="1"/>
  <c r="V71" i="1"/>
  <c r="T71" i="1"/>
  <c r="S71" i="1"/>
  <c r="O71" i="1"/>
  <c r="L71" i="1"/>
  <c r="K71" i="1"/>
  <c r="H71" i="1"/>
  <c r="E71" i="1"/>
  <c r="C71" i="1"/>
  <c r="W70" i="1"/>
  <c r="V70" i="1"/>
  <c r="T70" i="1"/>
  <c r="S70" i="1"/>
  <c r="O70" i="1"/>
  <c r="L70" i="1"/>
  <c r="K70" i="1"/>
  <c r="H70" i="1"/>
  <c r="E70" i="1"/>
  <c r="C70" i="1"/>
  <c r="W69" i="1"/>
  <c r="V69" i="1"/>
  <c r="T69" i="1"/>
  <c r="S69" i="1"/>
  <c r="O69" i="1"/>
  <c r="L69" i="1"/>
  <c r="K69" i="1"/>
  <c r="H69" i="1"/>
  <c r="E69" i="1"/>
  <c r="C69" i="1"/>
  <c r="W68" i="1"/>
  <c r="V68" i="1"/>
  <c r="T68" i="1"/>
  <c r="S68" i="1"/>
  <c r="O68" i="1"/>
  <c r="L68" i="1"/>
  <c r="K68" i="1"/>
  <c r="H68" i="1"/>
  <c r="E68" i="1"/>
  <c r="C68" i="1"/>
  <c r="W67" i="1"/>
  <c r="V67" i="1"/>
  <c r="T67" i="1"/>
  <c r="S67" i="1"/>
  <c r="O67" i="1"/>
  <c r="L67" i="1"/>
  <c r="K67" i="1"/>
  <c r="H67" i="1"/>
  <c r="E67" i="1"/>
  <c r="C67" i="1"/>
  <c r="W66" i="1"/>
  <c r="V66" i="1"/>
  <c r="T66" i="1"/>
  <c r="S66" i="1"/>
  <c r="O66" i="1"/>
  <c r="L66" i="1"/>
  <c r="K66" i="1"/>
  <c r="H66" i="1"/>
  <c r="E66" i="1"/>
  <c r="C66" i="1"/>
  <c r="W65" i="1"/>
  <c r="V65" i="1"/>
  <c r="T65" i="1"/>
  <c r="S65" i="1"/>
  <c r="O65" i="1"/>
  <c r="L65" i="1"/>
  <c r="K65" i="1"/>
  <c r="H65" i="1"/>
  <c r="E65" i="1"/>
  <c r="C65" i="1"/>
  <c r="W64" i="1"/>
  <c r="V64" i="1"/>
  <c r="T64" i="1"/>
  <c r="S64" i="1"/>
  <c r="O64" i="1"/>
  <c r="L64" i="1"/>
  <c r="K64" i="1"/>
  <c r="H64" i="1"/>
  <c r="E64" i="1"/>
  <c r="C64" i="1"/>
  <c r="W63" i="1"/>
  <c r="V63" i="1"/>
  <c r="T63" i="1"/>
  <c r="S63" i="1"/>
  <c r="O63" i="1"/>
  <c r="L63" i="1"/>
  <c r="K63" i="1"/>
  <c r="H63" i="1"/>
  <c r="E63" i="1"/>
  <c r="C63" i="1"/>
  <c r="W62" i="1"/>
  <c r="V62" i="1"/>
  <c r="T62" i="1"/>
  <c r="S62" i="1"/>
  <c r="O62" i="1"/>
  <c r="L62" i="1"/>
  <c r="K62" i="1"/>
  <c r="H62" i="1"/>
  <c r="E62" i="1"/>
  <c r="C62" i="1"/>
  <c r="W61" i="1"/>
  <c r="V61" i="1"/>
  <c r="T61" i="1"/>
  <c r="S61" i="1"/>
  <c r="O61" i="1"/>
  <c r="L61" i="1"/>
  <c r="K61" i="1"/>
  <c r="H61" i="1"/>
  <c r="E61" i="1"/>
  <c r="C61" i="1"/>
  <c r="W60" i="1"/>
  <c r="V60" i="1"/>
  <c r="T60" i="1"/>
  <c r="S60" i="1"/>
  <c r="O60" i="1"/>
  <c r="L60" i="1"/>
  <c r="K60" i="1"/>
  <c r="H60" i="1"/>
  <c r="E60" i="1"/>
  <c r="C60" i="1"/>
  <c r="W59" i="1"/>
  <c r="V59" i="1"/>
  <c r="T59" i="1"/>
  <c r="S59" i="1"/>
  <c r="O59" i="1"/>
  <c r="L59" i="1"/>
  <c r="K59" i="1"/>
  <c r="H59" i="1"/>
  <c r="E59" i="1"/>
  <c r="C59" i="1"/>
  <c r="W58" i="1"/>
  <c r="V58" i="1"/>
  <c r="T58" i="1"/>
  <c r="S58" i="1"/>
  <c r="O58" i="1"/>
  <c r="L58" i="1"/>
  <c r="K58" i="1"/>
  <c r="H58" i="1"/>
  <c r="E58" i="1"/>
  <c r="C58" i="1"/>
  <c r="W57" i="1"/>
  <c r="V57" i="1"/>
  <c r="T57" i="1"/>
  <c r="S57" i="1"/>
  <c r="O57" i="1"/>
  <c r="L57" i="1"/>
  <c r="K57" i="1"/>
  <c r="H57" i="1"/>
  <c r="E57" i="1"/>
  <c r="C57" i="1"/>
  <c r="W56" i="1"/>
  <c r="V56" i="1"/>
  <c r="T56" i="1"/>
  <c r="S56" i="1"/>
  <c r="O56" i="1"/>
  <c r="L56" i="1"/>
  <c r="K56" i="1"/>
  <c r="H56" i="1"/>
  <c r="E56" i="1"/>
  <c r="C56" i="1"/>
  <c r="W55" i="1"/>
  <c r="V55" i="1"/>
  <c r="T55" i="1"/>
  <c r="S55" i="1"/>
  <c r="O55" i="1"/>
  <c r="L55" i="1"/>
  <c r="K55" i="1"/>
  <c r="H55" i="1"/>
  <c r="E55" i="1"/>
  <c r="C55" i="1"/>
  <c r="W54" i="1"/>
  <c r="V54" i="1"/>
  <c r="T54" i="1"/>
  <c r="S54" i="1"/>
  <c r="O54" i="1"/>
  <c r="L54" i="1"/>
  <c r="K54" i="1"/>
  <c r="H54" i="1"/>
  <c r="E54" i="1"/>
  <c r="C54" i="1"/>
  <c r="W53" i="1"/>
  <c r="V53" i="1"/>
  <c r="T53" i="1"/>
  <c r="S53" i="1"/>
  <c r="O53" i="1"/>
  <c r="L53" i="1"/>
  <c r="K53" i="1"/>
  <c r="H53" i="1"/>
  <c r="E53" i="1"/>
  <c r="C53" i="1"/>
  <c r="W52" i="1"/>
  <c r="V52" i="1"/>
  <c r="T52" i="1"/>
  <c r="S52" i="1"/>
  <c r="O52" i="1"/>
  <c r="L52" i="1"/>
  <c r="K52" i="1"/>
  <c r="H52" i="1"/>
  <c r="E52" i="1"/>
  <c r="C52" i="1"/>
  <c r="W51" i="1"/>
  <c r="V51" i="1"/>
  <c r="T51" i="1"/>
  <c r="S51" i="1"/>
  <c r="O51" i="1"/>
  <c r="L51" i="1"/>
  <c r="K51" i="1"/>
  <c r="H51" i="1"/>
  <c r="E51" i="1"/>
  <c r="C51" i="1"/>
  <c r="W50" i="1"/>
  <c r="V50" i="1"/>
  <c r="T50" i="1"/>
  <c r="S50" i="1"/>
  <c r="O50" i="1"/>
  <c r="L50" i="1"/>
  <c r="K50" i="1"/>
  <c r="H50" i="1"/>
  <c r="E50" i="1"/>
  <c r="C50" i="1"/>
  <c r="W49" i="1"/>
  <c r="V49" i="1"/>
  <c r="T49" i="1"/>
  <c r="S49" i="1"/>
  <c r="O49" i="1"/>
  <c r="L49" i="1"/>
  <c r="K49" i="1"/>
  <c r="H49" i="1"/>
  <c r="E49" i="1"/>
  <c r="C49" i="1"/>
  <c r="W48" i="1"/>
  <c r="V48" i="1"/>
  <c r="T48" i="1"/>
  <c r="S48" i="1"/>
  <c r="O48" i="1"/>
  <c r="L48" i="1"/>
  <c r="K48" i="1"/>
  <c r="H48" i="1"/>
  <c r="E48" i="1"/>
  <c r="C48" i="1"/>
  <c r="W47" i="1"/>
  <c r="V47" i="1"/>
  <c r="T47" i="1"/>
  <c r="S47" i="1"/>
  <c r="O47" i="1"/>
  <c r="L47" i="1"/>
  <c r="K47" i="1"/>
  <c r="H47" i="1"/>
  <c r="E47" i="1"/>
  <c r="C47" i="1"/>
  <c r="W46" i="1"/>
  <c r="V46" i="1"/>
  <c r="T46" i="1"/>
  <c r="S46" i="1"/>
  <c r="O46" i="1"/>
  <c r="L46" i="1"/>
  <c r="K46" i="1"/>
  <c r="H46" i="1"/>
  <c r="E46" i="1"/>
  <c r="C46" i="1"/>
  <c r="W45" i="1"/>
  <c r="V45" i="1"/>
  <c r="T45" i="1"/>
  <c r="S45" i="1"/>
  <c r="O45" i="1"/>
  <c r="L45" i="1"/>
  <c r="K45" i="1"/>
  <c r="H45" i="1"/>
  <c r="E45" i="1"/>
  <c r="C45" i="1"/>
  <c r="W44" i="1"/>
  <c r="V44" i="1"/>
  <c r="T44" i="1"/>
  <c r="S44" i="1"/>
  <c r="O44" i="1"/>
  <c r="L44" i="1"/>
  <c r="K44" i="1"/>
  <c r="H44" i="1"/>
  <c r="E44" i="1"/>
  <c r="C44" i="1"/>
  <c r="W43" i="1"/>
  <c r="V43" i="1"/>
  <c r="T43" i="1"/>
  <c r="S43" i="1"/>
  <c r="O43" i="1"/>
  <c r="L43" i="1"/>
  <c r="K43" i="1"/>
  <c r="H43" i="1"/>
  <c r="E43" i="1"/>
  <c r="C43" i="1"/>
  <c r="W42" i="1"/>
  <c r="V42" i="1"/>
  <c r="T42" i="1"/>
  <c r="S42" i="1"/>
  <c r="O42" i="1"/>
  <c r="L42" i="1"/>
  <c r="K42" i="1"/>
  <c r="H42" i="1"/>
  <c r="E42" i="1"/>
  <c r="C42" i="1"/>
  <c r="W41" i="1"/>
  <c r="V41" i="1"/>
  <c r="T41" i="1"/>
  <c r="S41" i="1"/>
  <c r="O41" i="1"/>
  <c r="L41" i="1"/>
  <c r="K41" i="1"/>
  <c r="H41" i="1"/>
  <c r="E41" i="1"/>
  <c r="C41" i="1"/>
  <c r="W40" i="1"/>
  <c r="V40" i="1"/>
  <c r="T40" i="1"/>
  <c r="S40" i="1"/>
  <c r="O40" i="1"/>
  <c r="L40" i="1"/>
  <c r="K40" i="1"/>
  <c r="H40" i="1"/>
  <c r="E40" i="1"/>
  <c r="C40" i="1"/>
  <c r="W39" i="1"/>
  <c r="V39" i="1"/>
  <c r="T39" i="1"/>
  <c r="S39" i="1"/>
  <c r="O39" i="1"/>
  <c r="L39" i="1"/>
  <c r="K39" i="1"/>
  <c r="H39" i="1"/>
  <c r="E39" i="1"/>
  <c r="C39" i="1"/>
  <c r="W38" i="1"/>
  <c r="V38" i="1"/>
  <c r="T38" i="1"/>
  <c r="S38" i="1"/>
  <c r="O38" i="1"/>
  <c r="L38" i="1"/>
  <c r="K38" i="1"/>
  <c r="H38" i="1"/>
  <c r="E38" i="1"/>
  <c r="C38" i="1"/>
  <c r="W37" i="1"/>
  <c r="V37" i="1"/>
  <c r="T37" i="1"/>
  <c r="S37" i="1"/>
  <c r="O37" i="1"/>
  <c r="L37" i="1"/>
  <c r="K37" i="1"/>
  <c r="H37" i="1"/>
  <c r="E37" i="1"/>
  <c r="C37" i="1"/>
  <c r="W36" i="1"/>
  <c r="V36" i="1"/>
  <c r="T36" i="1"/>
  <c r="S36" i="1"/>
  <c r="O36" i="1"/>
  <c r="L36" i="1"/>
  <c r="K36" i="1"/>
  <c r="H36" i="1"/>
  <c r="E36" i="1"/>
  <c r="C36" i="1"/>
  <c r="W35" i="1"/>
  <c r="V35" i="1"/>
  <c r="T35" i="1"/>
  <c r="S35" i="1"/>
  <c r="O35" i="1"/>
  <c r="L35" i="1"/>
  <c r="K35" i="1"/>
  <c r="H35" i="1"/>
  <c r="E35" i="1"/>
  <c r="C35" i="1"/>
  <c r="W34" i="1"/>
  <c r="V34" i="1"/>
  <c r="T34" i="1"/>
  <c r="S34" i="1"/>
  <c r="O34" i="1"/>
  <c r="L34" i="1"/>
  <c r="K34" i="1"/>
  <c r="H34" i="1"/>
  <c r="E34" i="1"/>
  <c r="C34" i="1"/>
  <c r="W33" i="1"/>
  <c r="V33" i="1"/>
  <c r="T33" i="1"/>
  <c r="S33" i="1"/>
  <c r="O33" i="1"/>
  <c r="L33" i="1"/>
  <c r="K33" i="1"/>
  <c r="H33" i="1"/>
  <c r="E33" i="1"/>
  <c r="C33" i="1"/>
  <c r="W32" i="1"/>
  <c r="V32" i="1"/>
  <c r="T32" i="1"/>
  <c r="S32" i="1"/>
  <c r="O32" i="1"/>
  <c r="L32" i="1"/>
  <c r="K32" i="1"/>
  <c r="H32" i="1"/>
  <c r="E32" i="1"/>
  <c r="C32" i="1"/>
  <c r="W31" i="1"/>
  <c r="V31" i="1"/>
  <c r="T31" i="1"/>
  <c r="S31" i="1"/>
  <c r="O31" i="1"/>
  <c r="L31" i="1"/>
  <c r="K31" i="1"/>
  <c r="H31" i="1"/>
  <c r="E31" i="1"/>
  <c r="C31" i="1"/>
  <c r="W30" i="1"/>
  <c r="V30" i="1"/>
  <c r="T30" i="1"/>
  <c r="S30" i="1"/>
  <c r="O30" i="1"/>
  <c r="L30" i="1"/>
  <c r="K30" i="1"/>
  <c r="H30" i="1"/>
  <c r="E30" i="1"/>
  <c r="C30" i="1"/>
  <c r="W29" i="1"/>
  <c r="V29" i="1"/>
  <c r="T29" i="1"/>
  <c r="S29" i="1"/>
  <c r="O29" i="1"/>
  <c r="L29" i="1"/>
  <c r="K29" i="1"/>
  <c r="H29" i="1"/>
  <c r="E29" i="1"/>
  <c r="C29" i="1"/>
  <c r="W28" i="1"/>
  <c r="V28" i="1"/>
  <c r="T28" i="1"/>
  <c r="S28" i="1"/>
  <c r="O28" i="1"/>
  <c r="L28" i="1"/>
  <c r="K28" i="1"/>
  <c r="H28" i="1"/>
  <c r="E28" i="1"/>
  <c r="C28" i="1"/>
  <c r="W27" i="1"/>
  <c r="V27" i="1"/>
  <c r="T27" i="1"/>
  <c r="S27" i="1"/>
  <c r="O27" i="1"/>
  <c r="L27" i="1"/>
  <c r="K27" i="1"/>
  <c r="H27" i="1"/>
  <c r="E27" i="1"/>
  <c r="C27" i="1"/>
  <c r="W26" i="1"/>
  <c r="V26" i="1"/>
  <c r="T26" i="1"/>
  <c r="S26" i="1"/>
  <c r="O26" i="1"/>
  <c r="L26" i="1"/>
  <c r="K26" i="1"/>
  <c r="H26" i="1"/>
  <c r="E26" i="1"/>
  <c r="C26" i="1"/>
  <c r="W25" i="1"/>
  <c r="V25" i="1"/>
  <c r="T25" i="1"/>
  <c r="S25" i="1"/>
  <c r="O25" i="1"/>
  <c r="L25" i="1"/>
  <c r="K25" i="1"/>
  <c r="H25" i="1"/>
  <c r="E25" i="1"/>
  <c r="C25" i="1"/>
  <c r="W24" i="1"/>
  <c r="V24" i="1"/>
  <c r="T24" i="1"/>
  <c r="S24" i="1"/>
  <c r="O24" i="1"/>
  <c r="L24" i="1"/>
  <c r="K24" i="1"/>
  <c r="H24" i="1"/>
  <c r="E24" i="1"/>
  <c r="C24" i="1"/>
  <c r="W23" i="1"/>
  <c r="V23" i="1"/>
  <c r="T23" i="1"/>
  <c r="S23" i="1"/>
  <c r="O23" i="1"/>
  <c r="L23" i="1"/>
  <c r="K23" i="1"/>
  <c r="H23" i="1"/>
  <c r="E23" i="1"/>
  <c r="C23" i="1"/>
  <c r="W22" i="1"/>
  <c r="V22" i="1"/>
  <c r="T22" i="1"/>
  <c r="S22" i="1"/>
  <c r="O22" i="1"/>
  <c r="L22" i="1"/>
  <c r="K22" i="1"/>
  <c r="H22" i="1"/>
  <c r="E22" i="1"/>
  <c r="C22" i="1"/>
  <c r="W21" i="1"/>
  <c r="V21" i="1"/>
  <c r="T21" i="1"/>
  <c r="S21" i="1"/>
  <c r="O21" i="1"/>
  <c r="L21" i="1"/>
  <c r="K21" i="1"/>
  <c r="H21" i="1"/>
  <c r="E21" i="1"/>
  <c r="C21" i="1"/>
  <c r="W20" i="1"/>
  <c r="V20" i="1"/>
  <c r="T20" i="1"/>
  <c r="S20" i="1"/>
  <c r="O20" i="1"/>
  <c r="L20" i="1"/>
  <c r="K20" i="1"/>
  <c r="H20" i="1"/>
  <c r="E20" i="1"/>
  <c r="C20" i="1"/>
  <c r="W19" i="1"/>
  <c r="V19" i="1"/>
  <c r="T19" i="1"/>
  <c r="S19" i="1"/>
  <c r="O19" i="1"/>
  <c r="L19" i="1"/>
  <c r="K19" i="1"/>
  <c r="H19" i="1"/>
  <c r="E19" i="1"/>
  <c r="C19" i="1"/>
  <c r="W18" i="1"/>
  <c r="V18" i="1"/>
  <c r="T18" i="1"/>
  <c r="S18" i="1"/>
  <c r="O18" i="1"/>
  <c r="L18" i="1"/>
  <c r="K18" i="1"/>
  <c r="H18" i="1"/>
  <c r="E18" i="1"/>
  <c r="C18" i="1"/>
  <c r="W17" i="1"/>
  <c r="V17" i="1"/>
  <c r="T17" i="1"/>
  <c r="S17" i="1"/>
  <c r="O17" i="1"/>
  <c r="L17" i="1"/>
  <c r="K17" i="1"/>
  <c r="H17" i="1"/>
  <c r="E17" i="1"/>
  <c r="C17" i="1"/>
  <c r="W16" i="1"/>
  <c r="V16" i="1"/>
  <c r="T16" i="1"/>
  <c r="S16" i="1"/>
  <c r="O16" i="1"/>
  <c r="L16" i="1"/>
  <c r="K16" i="1"/>
  <c r="H16" i="1"/>
  <c r="E16" i="1"/>
  <c r="C16" i="1"/>
  <c r="W15" i="1"/>
  <c r="V15" i="1"/>
  <c r="T15" i="1"/>
  <c r="S15" i="1"/>
  <c r="O15" i="1"/>
  <c r="L15" i="1"/>
  <c r="K15" i="1"/>
  <c r="H15" i="1"/>
  <c r="E15" i="1"/>
  <c r="C15" i="1"/>
  <c r="W14" i="1"/>
  <c r="V14" i="1"/>
  <c r="T14" i="1"/>
  <c r="S14" i="1"/>
  <c r="O14" i="1"/>
  <c r="L14" i="1"/>
  <c r="K14" i="1"/>
  <c r="H14" i="1"/>
  <c r="E14" i="1"/>
  <c r="C14" i="1"/>
  <c r="W13" i="1"/>
  <c r="V13" i="1"/>
  <c r="T13" i="1"/>
  <c r="S13" i="1"/>
  <c r="O13" i="1"/>
  <c r="L13" i="1"/>
  <c r="K13" i="1"/>
  <c r="H13" i="1"/>
  <c r="E13" i="1"/>
  <c r="C13" i="1"/>
  <c r="W12" i="1"/>
  <c r="V12" i="1"/>
  <c r="T12" i="1"/>
  <c r="S12" i="1"/>
  <c r="O12" i="1"/>
  <c r="L12" i="1"/>
  <c r="K12" i="1"/>
  <c r="H12" i="1"/>
  <c r="E12" i="1"/>
  <c r="C12" i="1"/>
  <c r="W11" i="1"/>
  <c r="V11" i="1"/>
  <c r="T11" i="1"/>
  <c r="S11" i="1"/>
  <c r="O11" i="1"/>
  <c r="L11" i="1"/>
  <c r="K11" i="1"/>
  <c r="H11" i="1"/>
  <c r="E11" i="1"/>
  <c r="C11" i="1"/>
  <c r="W10" i="1"/>
  <c r="V10" i="1"/>
  <c r="T10" i="1"/>
  <c r="S10" i="1"/>
  <c r="O10" i="1"/>
  <c r="L10" i="1"/>
  <c r="K10" i="1"/>
  <c r="H10" i="1"/>
  <c r="E10" i="1"/>
  <c r="C10" i="1"/>
  <c r="W9" i="1"/>
  <c r="V9" i="1"/>
  <c r="T9" i="1"/>
  <c r="S9" i="1"/>
  <c r="O9" i="1"/>
  <c r="L9" i="1"/>
  <c r="K9" i="1"/>
  <c r="H9" i="1"/>
  <c r="E9" i="1"/>
  <c r="C9" i="1"/>
  <c r="W8" i="1"/>
  <c r="V8" i="1"/>
  <c r="T8" i="1"/>
  <c r="S8" i="1"/>
  <c r="O8" i="1"/>
  <c r="L8" i="1"/>
  <c r="K8" i="1"/>
  <c r="H8" i="1"/>
  <c r="E8" i="1"/>
  <c r="C8" i="1"/>
  <c r="W7" i="1"/>
  <c r="V7" i="1"/>
  <c r="T7" i="1"/>
  <c r="S7" i="1"/>
  <c r="O7" i="1"/>
  <c r="L7" i="1"/>
  <c r="K7" i="1"/>
  <c r="H7" i="1"/>
  <c r="E7" i="1"/>
  <c r="C7" i="1"/>
  <c r="W6" i="1"/>
  <c r="V6" i="1"/>
  <c r="T6" i="1"/>
  <c r="S6" i="1"/>
  <c r="O6" i="1"/>
  <c r="L6" i="1"/>
  <c r="K6" i="1"/>
  <c r="H6" i="1"/>
  <c r="E6" i="1"/>
  <c r="C6" i="1"/>
  <c r="W5" i="1"/>
  <c r="V5" i="1"/>
  <c r="T5" i="1"/>
  <c r="S5" i="1"/>
  <c r="O5" i="1"/>
  <c r="L5" i="1"/>
  <c r="K5" i="1"/>
  <c r="H5" i="1"/>
  <c r="E5" i="1"/>
  <c r="C5" i="1"/>
  <c r="W4" i="1"/>
  <c r="V4" i="1"/>
  <c r="T4" i="1"/>
  <c r="S4" i="1"/>
  <c r="O4" i="1"/>
  <c r="L4" i="1"/>
  <c r="K4" i="1"/>
  <c r="H4" i="1"/>
  <c r="E4" i="1"/>
  <c r="C4" i="1"/>
  <c r="W3" i="1"/>
  <c r="V3" i="1"/>
  <c r="T3" i="1"/>
  <c r="S3" i="1"/>
  <c r="O3" i="1"/>
  <c r="L3" i="1"/>
  <c r="K3" i="1"/>
  <c r="H3" i="1"/>
  <c r="E3" i="1"/>
  <c r="W2" i="1"/>
  <c r="V2" i="1"/>
  <c r="T2" i="1"/>
  <c r="S2" i="1"/>
  <c r="Q2" i="1"/>
  <c r="O2" i="1"/>
  <c r="L2" i="1"/>
  <c r="K2" i="1"/>
  <c r="H2" i="1"/>
  <c r="E2" i="1"/>
  <c r="C2" i="1"/>
  <c r="V82" i="1" l="1"/>
</calcChain>
</file>

<file path=xl/sharedStrings.xml><?xml version="1.0" encoding="utf-8"?>
<sst xmlns="http://schemas.openxmlformats.org/spreadsheetml/2006/main" count="843" uniqueCount="600">
  <si>
    <t>ユーザー名</t>
    <rPh sb="4" eb="5">
      <t>メイ</t>
    </rPh>
    <phoneticPr fontId="2"/>
  </si>
  <si>
    <t>参加年月</t>
    <rPh sb="0" eb="2">
      <t>サンカ</t>
    </rPh>
    <rPh sb="2" eb="4">
      <t>ネンゲツ</t>
    </rPh>
    <phoneticPr fontId="2"/>
  </si>
  <si>
    <t>フォロー数</t>
    <rPh sb="4" eb="5">
      <t>スウ</t>
    </rPh>
    <phoneticPr fontId="2"/>
  </si>
  <si>
    <t>フォロワー数</t>
    <rPh sb="5" eb="6">
      <t>スウ</t>
    </rPh>
    <phoneticPr fontId="2"/>
  </si>
  <si>
    <t>参加年月日</t>
    <rPh sb="0" eb="2">
      <t>サンカ</t>
    </rPh>
    <rPh sb="2" eb="5">
      <t>ネンガッピ</t>
    </rPh>
    <phoneticPr fontId="2"/>
  </si>
  <si>
    <t>参加からの経過年月</t>
    <rPh sb="0" eb="2">
      <t>サンカ</t>
    </rPh>
    <rPh sb="5" eb="7">
      <t>ケイカ</t>
    </rPh>
    <rPh sb="7" eb="9">
      <t>ネンゲツ</t>
    </rPh>
    <phoneticPr fontId="2"/>
  </si>
  <si>
    <t>FF比</t>
    <rPh sb="2" eb="3">
      <t>ヒ</t>
    </rPh>
    <phoneticPr fontId="2"/>
  </si>
  <si>
    <t>総PJ数</t>
    <rPh sb="0" eb="1">
      <t>ソウ</t>
    </rPh>
    <rPh sb="3" eb="4">
      <t>スウ</t>
    </rPh>
    <phoneticPr fontId="2"/>
  </si>
  <si>
    <t>月平均投稿PJ数</t>
    <rPh sb="0" eb="3">
      <t>ツキヘイキン</t>
    </rPh>
    <rPh sb="3" eb="5">
      <t>トウコウ</t>
    </rPh>
    <rPh sb="7" eb="8">
      <t>スウ</t>
    </rPh>
    <phoneticPr fontId="2"/>
  </si>
  <si>
    <t>ディスプレイネーム</t>
    <phoneticPr fontId="2"/>
  </si>
  <si>
    <t>ID</t>
    <phoneticPr fontId="2"/>
  </si>
  <si>
    <t>Mayssh_01</t>
    <phoneticPr fontId="2"/>
  </si>
  <si>
    <t>mayssh_01</t>
    <phoneticPr fontId="2"/>
  </si>
  <si>
    <t>備考</t>
    <rPh sb="0" eb="2">
      <t>ビコウ</t>
    </rPh>
    <phoneticPr fontId="2"/>
  </si>
  <si>
    <t>しとりん</t>
    <phoneticPr fontId="2"/>
  </si>
  <si>
    <t>-Jupiterfx</t>
    <phoneticPr fontId="2"/>
  </si>
  <si>
    <t>鍵付きアカウント</t>
    <rPh sb="0" eb="2">
      <t>カギツ</t>
    </rPh>
    <phoneticPr fontId="2"/>
  </si>
  <si>
    <t>参加からの経過年月日数</t>
    <rPh sb="0" eb="2">
      <t>サンカ</t>
    </rPh>
    <rPh sb="5" eb="7">
      <t>ケイカ</t>
    </rPh>
    <rPh sb="7" eb="10">
      <t>ネンガッピ</t>
    </rPh>
    <rPh sb="10" eb="11">
      <t>スウ</t>
    </rPh>
    <phoneticPr fontId="2"/>
  </si>
  <si>
    <t>atomic_osushi</t>
    <phoneticPr fontId="2"/>
  </si>
  <si>
    <t>zororiku</t>
    <phoneticPr fontId="2"/>
  </si>
  <si>
    <t>©ぞろりく</t>
    <phoneticPr fontId="2"/>
  </si>
  <si>
    <t>zororiku_</t>
    <phoneticPr fontId="2"/>
  </si>
  <si>
    <t>-Snowy-FX-</t>
    <phoneticPr fontId="2"/>
  </si>
  <si>
    <t>SnowFX</t>
    <phoneticPr fontId="2"/>
  </si>
  <si>
    <t>YoukunFX</t>
    <phoneticPr fontId="2"/>
  </si>
  <si>
    <t>-vallat-</t>
    <phoneticPr fontId="2"/>
  </si>
  <si>
    <t>ばらと</t>
    <phoneticPr fontId="2"/>
  </si>
  <si>
    <t>vallat__</t>
    <phoneticPr fontId="2"/>
  </si>
  <si>
    <t>ringo2go</t>
    <phoneticPr fontId="2"/>
  </si>
  <si>
    <t>umeringo_2go</t>
    <phoneticPr fontId="2"/>
  </si>
  <si>
    <t>Xx_Choral_A_xX</t>
    <phoneticPr fontId="2"/>
  </si>
  <si>
    <t>Chor</t>
    <phoneticPr fontId="2"/>
  </si>
  <si>
    <t>tyoral_</t>
    <phoneticPr fontId="2"/>
  </si>
  <si>
    <t>-TouTa-</t>
    <phoneticPr fontId="2"/>
  </si>
  <si>
    <t>トウタ(陶汰)</t>
    <phoneticPr fontId="2"/>
  </si>
  <si>
    <t>TouTa12341234</t>
    <phoneticPr fontId="2"/>
  </si>
  <si>
    <t>mayo-cocon</t>
    <phoneticPr fontId="2"/>
  </si>
  <si>
    <t>とまとマヨ</t>
    <phoneticPr fontId="2"/>
  </si>
  <si>
    <t>tomatomayo_10</t>
    <phoneticPr fontId="2"/>
  </si>
  <si>
    <t>doublescherry</t>
    <phoneticPr fontId="2"/>
  </si>
  <si>
    <t>ちぇりー / しょぼん</t>
    <phoneticPr fontId="2"/>
  </si>
  <si>
    <t>Syobon0w0</t>
    <phoneticPr fontId="2"/>
  </si>
  <si>
    <t>_yakomo-official_</t>
    <phoneticPr fontId="2"/>
  </si>
  <si>
    <t>鈴代やこも</t>
    <phoneticPr fontId="2"/>
  </si>
  <si>
    <t>suzusiroyakomo</t>
    <phoneticPr fontId="2"/>
  </si>
  <si>
    <t>laggylaggy</t>
    <phoneticPr fontId="2"/>
  </si>
  <si>
    <t>_o0Seina0o_</t>
    <phoneticPr fontId="2"/>
  </si>
  <si>
    <t>寒雨💫🌙</t>
    <phoneticPr fontId="2"/>
  </si>
  <si>
    <t>Selene_Cosmo0</t>
    <phoneticPr fontId="2"/>
  </si>
  <si>
    <t>ham_mog</t>
    <phoneticPr fontId="2"/>
  </si>
  <si>
    <t>はむもぐ</t>
    <phoneticPr fontId="2"/>
  </si>
  <si>
    <t>Robusuke</t>
    <phoneticPr fontId="2"/>
  </si>
  <si>
    <t>ロブ助🦐</t>
    <phoneticPr fontId="2"/>
  </si>
  <si>
    <t>Robusuke_Shrimp</t>
    <phoneticPr fontId="2"/>
  </si>
  <si>
    <t>Poteto143</t>
    <phoneticPr fontId="2"/>
  </si>
  <si>
    <t>Poteto143🍟</t>
    <phoneticPr fontId="2"/>
  </si>
  <si>
    <t>pino_name</t>
    <phoneticPr fontId="2"/>
  </si>
  <si>
    <t>ぴの</t>
    <phoneticPr fontId="2"/>
  </si>
  <si>
    <t>Pino_scr</t>
    <phoneticPr fontId="2"/>
  </si>
  <si>
    <t>Srain3</t>
    <phoneticPr fontId="2"/>
  </si>
  <si>
    <t>Paint8Q</t>
    <phoneticPr fontId="2"/>
  </si>
  <si>
    <t>omowaka</t>
    <phoneticPr fontId="2"/>
  </si>
  <si>
    <t>おも Scratch</t>
    <phoneticPr fontId="2"/>
  </si>
  <si>
    <t>omokai</t>
    <phoneticPr fontId="2"/>
  </si>
  <si>
    <t>omokai_scratch</t>
    <phoneticPr fontId="2"/>
  </si>
  <si>
    <t>honey-milk1</t>
    <phoneticPr fontId="2"/>
  </si>
  <si>
    <t>ネコでもわかるプログラミング</t>
    <phoneticPr fontId="2"/>
  </si>
  <si>
    <t>nekopro20</t>
    <phoneticPr fontId="2"/>
  </si>
  <si>
    <t>mugidango</t>
    <phoneticPr fontId="2"/>
  </si>
  <si>
    <t>むぎだんご</t>
    <phoneticPr fontId="2"/>
  </si>
  <si>
    <t>mugidango___</t>
    <phoneticPr fontId="2"/>
  </si>
  <si>
    <t>Soragami_Official</t>
    <phoneticPr fontId="2"/>
  </si>
  <si>
    <t>宙噛</t>
    <phoneticPr fontId="2"/>
  </si>
  <si>
    <t>moeruwara</t>
    <phoneticPr fontId="2"/>
  </si>
  <si>
    <t>まいっしゅ</t>
    <phoneticPr fontId="2"/>
  </si>
  <si>
    <t>victoria_0913</t>
    <phoneticPr fontId="2"/>
  </si>
  <si>
    <t>ゔぃくとりあ</t>
    <phoneticPr fontId="2"/>
  </si>
  <si>
    <t>matane_0913</t>
    <phoneticPr fontId="2"/>
  </si>
  <si>
    <t>mangagroup_Scra</t>
    <phoneticPr fontId="2"/>
  </si>
  <si>
    <t>logic_lab</t>
    <phoneticPr fontId="2"/>
  </si>
  <si>
    <t>logiclab</t>
    <phoneticPr fontId="2"/>
  </si>
  <si>
    <t>-LightArtz-</t>
    <phoneticPr fontId="2"/>
  </si>
  <si>
    <t>くまのみっす</t>
    <phoneticPr fontId="2"/>
  </si>
  <si>
    <t>Kumanomikun_</t>
    <phoneticPr fontId="2"/>
  </si>
  <si>
    <t>ketiketi87</t>
    <phoneticPr fontId="2"/>
  </si>
  <si>
    <t>けちけち</t>
    <phoneticPr fontId="2"/>
  </si>
  <si>
    <t>kasasa1262716</t>
    <phoneticPr fontId="2"/>
  </si>
  <si>
    <t>youmounotanbo</t>
    <phoneticPr fontId="2"/>
  </si>
  <si>
    <t>(ようもうのたんぼ)</t>
    <phoneticPr fontId="2"/>
  </si>
  <si>
    <t>Karupiyonn</t>
    <phoneticPr fontId="2"/>
  </si>
  <si>
    <t>karikaripilz</t>
    <phoneticPr fontId="2"/>
  </si>
  <si>
    <t>karicalikinoko</t>
    <phoneticPr fontId="2"/>
  </si>
  <si>
    <t>kaneshiro_aoto</t>
    <phoneticPr fontId="2"/>
  </si>
  <si>
    <t>hisiragi</t>
    <phoneticPr fontId="2"/>
  </si>
  <si>
    <t>hisiragi/ひしらぎ</t>
    <phoneticPr fontId="2"/>
  </si>
  <si>
    <t>hisiragi_jp</t>
    <phoneticPr fontId="2"/>
  </si>
  <si>
    <t>Tamao48</t>
    <phoneticPr fontId="2"/>
  </si>
  <si>
    <t>暇人たまお</t>
    <phoneticPr fontId="2"/>
  </si>
  <si>
    <t>himanatamao</t>
    <phoneticPr fontId="2"/>
  </si>
  <si>
    <t>SpringFX</t>
    <phoneticPr fontId="2"/>
  </si>
  <si>
    <t>HCMS_Spring</t>
    <phoneticPr fontId="2"/>
  </si>
  <si>
    <t>l_____Scratch_____l</t>
    <phoneticPr fontId="2"/>
  </si>
  <si>
    <t>𓆤hati32</t>
    <phoneticPr fontId="2"/>
  </si>
  <si>
    <t>hati325</t>
    <phoneticPr fontId="2"/>
  </si>
  <si>
    <t>haru-ymth</t>
    <phoneticPr fontId="2"/>
  </si>
  <si>
    <t>haru_ymth</t>
    <phoneticPr fontId="2"/>
  </si>
  <si>
    <t>harukun19</t>
    <phoneticPr fontId="2"/>
  </si>
  <si>
    <t>はるくん / harukun19</t>
    <phoneticPr fontId="2"/>
  </si>
  <si>
    <t>halkun19</t>
    <phoneticPr fontId="2"/>
  </si>
  <si>
    <t>Xx-_magic_-xX</t>
    <phoneticPr fontId="2"/>
  </si>
  <si>
    <t>GiaMC_movie</t>
    <phoneticPr fontId="2"/>
  </si>
  <si>
    <t>xX_Freezer_Xx</t>
    <phoneticPr fontId="2"/>
  </si>
  <si>
    <t>frezledz</t>
    <phoneticPr fontId="2"/>
  </si>
  <si>
    <t>Saikuron_Iida</t>
    <phoneticPr fontId="2"/>
  </si>
  <si>
    <t>サイクロン飯田</t>
    <phoneticPr fontId="2"/>
  </si>
  <si>
    <t>Cyclone080808</t>
    <phoneticPr fontId="2"/>
  </si>
  <si>
    <t>CitrinN</t>
    <phoneticPr fontId="2"/>
  </si>
  <si>
    <t>-AviFX-</t>
    <phoneticPr fontId="2"/>
  </si>
  <si>
    <t>あゔぃ</t>
    <phoneticPr fontId="2"/>
  </si>
  <si>
    <t>avi0111_</t>
    <phoneticPr fontId="2"/>
  </si>
  <si>
    <t>Atridott</t>
    <phoneticPr fontId="2"/>
  </si>
  <si>
    <t>atri_nen</t>
    <phoneticPr fontId="2"/>
  </si>
  <si>
    <t>atomic-osushi</t>
    <phoneticPr fontId="2"/>
  </si>
  <si>
    <t>しじみパン</t>
    <phoneticPr fontId="2"/>
  </si>
  <si>
    <t>Ashibara_Art</t>
    <phoneticPr fontId="2"/>
  </si>
  <si>
    <t>Ashibara_</t>
    <phoneticPr fontId="2"/>
  </si>
  <si>
    <t>banana_sansan</t>
    <phoneticPr fontId="2"/>
  </si>
  <si>
    <t>Scratch初心者</t>
    <phoneticPr fontId="2"/>
  </si>
  <si>
    <t>appleca71514618</t>
    <phoneticPr fontId="2"/>
  </si>
  <si>
    <t>-Cavlle-</t>
    <phoneticPr fontId="2"/>
  </si>
  <si>
    <t>かぶれ</t>
    <phoneticPr fontId="2"/>
  </si>
  <si>
    <t>abee</t>
    <phoneticPr fontId="2"/>
  </si>
  <si>
    <t>アベ先生 (CV: 阿部和広)</t>
    <phoneticPr fontId="2"/>
  </si>
  <si>
    <t>abee2</t>
    <phoneticPr fontId="2"/>
  </si>
  <si>
    <t>GHKk_99</t>
    <phoneticPr fontId="2"/>
  </si>
  <si>
    <t>ぢっく11D </t>
    <phoneticPr fontId="2"/>
  </si>
  <si>
    <t>99_GHKk</t>
    <phoneticPr fontId="2"/>
  </si>
  <si>
    <t>-Xx_Oo_oO_xX-</t>
    <phoneticPr fontId="2"/>
  </si>
  <si>
    <t>おおおお</t>
    <phoneticPr fontId="2"/>
  </si>
  <si>
    <t>_Xx_0o_o0_xX_</t>
    <phoneticPr fontId="2"/>
  </si>
  <si>
    <t>tensaichicken</t>
    <phoneticPr fontId="2"/>
  </si>
  <si>
    <t>_tensaichicken_</t>
    <phoneticPr fontId="2"/>
  </si>
  <si>
    <t>rara__official</t>
    <phoneticPr fontId="2"/>
  </si>
  <si>
    <t>_ra_mennya_</t>
    <phoneticPr fontId="2"/>
  </si>
  <si>
    <t>Crystal-25</t>
    <phoneticPr fontId="2"/>
  </si>
  <si>
    <t>栗</t>
    <phoneticPr fontId="2"/>
  </si>
  <si>
    <t>_crys25</t>
    <phoneticPr fontId="2"/>
  </si>
  <si>
    <t>URL</t>
    <phoneticPr fontId="2"/>
  </si>
  <si>
    <t>Yellow_Apple</t>
    <phoneticPr fontId="2"/>
  </si>
  <si>
    <t>Dotoe</t>
    <phoneticPr fontId="2"/>
  </si>
  <si>
    <t>letb_tw</t>
    <phoneticPr fontId="2"/>
  </si>
  <si>
    <t>꒰ঌティア</t>
    <phoneticPr fontId="2"/>
  </si>
  <si>
    <t>_mumei_jp_1</t>
    <phoneticPr fontId="2"/>
  </si>
  <si>
    <t>無鳴🍈🧐😉🙅🏿‍♀️🌙🐧🐶🐵</t>
    <phoneticPr fontId="2"/>
  </si>
  <si>
    <t>_Pon12345_</t>
    <phoneticPr fontId="2"/>
  </si>
  <si>
    <t>ぽん @Scratcherだった人</t>
    <phoneticPr fontId="2"/>
  </si>
  <si>
    <t>114423_it</t>
    <phoneticPr fontId="2"/>
  </si>
  <si>
    <t>いち！！</t>
    <phoneticPr fontId="2"/>
  </si>
  <si>
    <t>Anemone_eizo</t>
    <phoneticPr fontId="2"/>
  </si>
  <si>
    <t>Anemone</t>
    <phoneticPr fontId="2"/>
  </si>
  <si>
    <t>artz_night</t>
    <phoneticPr fontId="2"/>
  </si>
  <si>
    <t>Night</t>
    <phoneticPr fontId="2"/>
  </si>
  <si>
    <t>asuka_scratch</t>
    <phoneticPr fontId="2"/>
  </si>
  <si>
    <t>あすか</t>
    <phoneticPr fontId="2"/>
  </si>
  <si>
    <t>AtyapiFX</t>
    <phoneticPr fontId="2"/>
  </si>
  <si>
    <t>あちゃぴ / AtyapiArtz</t>
    <phoneticPr fontId="2"/>
  </si>
  <si>
    <t>banteku176510</t>
    <phoneticPr fontId="2"/>
  </si>
  <si>
    <t>BlueYtr35</t>
    <phoneticPr fontId="2"/>
  </si>
  <si>
    <t>BlueYTR35/7</t>
    <phoneticPr fontId="2"/>
  </si>
  <si>
    <t>Diamond_Scratch</t>
    <phoneticPr fontId="2"/>
  </si>
  <si>
    <t>♢だいすく♢</t>
    <phoneticPr fontId="2"/>
  </si>
  <si>
    <t>donakou_scrt</t>
    <phoneticPr fontId="2"/>
  </si>
  <si>
    <t>donakou</t>
    <phoneticPr fontId="2"/>
  </si>
  <si>
    <t>Doramori334</t>
    <phoneticPr fontId="2"/>
  </si>
  <si>
    <t>ドラモリ</t>
    <phoneticPr fontId="2"/>
  </si>
  <si>
    <t>dorasan0725</t>
    <phoneticPr fontId="2"/>
  </si>
  <si>
    <t>ドラさん</t>
    <phoneticPr fontId="2"/>
  </si>
  <si>
    <t>Dotoe_chan</t>
    <phoneticPr fontId="2"/>
  </si>
  <si>
    <t>e_hime__</t>
    <phoneticPr fontId="2"/>
  </si>
  <si>
    <t>えひめのみかん</t>
    <phoneticPr fontId="2"/>
  </si>
  <si>
    <t>edamame_pikmi</t>
    <phoneticPr fontId="2"/>
  </si>
  <si>
    <t>eelrice140</t>
    <phoneticPr fontId="2"/>
  </si>
  <si>
    <t>うな重大盛り</t>
    <phoneticPr fontId="2"/>
  </si>
  <si>
    <t>Free_Banner_scr</t>
    <phoneticPr fontId="2"/>
  </si>
  <si>
    <t>GOTTbatotai54</t>
    <phoneticPr fontId="2"/>
  </si>
  <si>
    <t>ゴットばとたい</t>
    <phoneticPr fontId="2"/>
  </si>
  <si>
    <t>Gurachan0</t>
    <phoneticPr fontId="2"/>
  </si>
  <si>
    <t>ちゃ</t>
    <phoneticPr fontId="2"/>
  </si>
  <si>
    <t>HCWHkU8w9dvhirQ</t>
    <phoneticPr fontId="2"/>
  </si>
  <si>
    <t>昼寝マン</t>
    <phoneticPr fontId="2"/>
  </si>
  <si>
    <t>HeroSoramame02</t>
    <phoneticPr fontId="2"/>
  </si>
  <si>
    <t>そらまめ(高身長)</t>
    <phoneticPr fontId="2"/>
  </si>
  <si>
    <t>HimikoPC</t>
    <phoneticPr fontId="2"/>
  </si>
  <si>
    <t>卑弥呼系ラーメン@競プロ初心者</t>
    <phoneticPr fontId="2"/>
  </si>
  <si>
    <t>huruit_mikeneko</t>
    <phoneticPr fontId="2"/>
  </si>
  <si>
    <t>huru-tu</t>
    <phoneticPr fontId="2"/>
  </si>
  <si>
    <t>Jikky1618</t>
    <phoneticPr fontId="2"/>
  </si>
  <si>
    <t>じきお。</t>
    <phoneticPr fontId="2"/>
  </si>
  <si>
    <t>JPn_zyobu</t>
    <phoneticPr fontId="2"/>
  </si>
  <si>
    <t>じょぶ</t>
    <phoneticPr fontId="2"/>
  </si>
  <si>
    <t>Kainoko_126</t>
    <phoneticPr fontId="2"/>
  </si>
  <si>
    <t>魚卵郎</t>
    <phoneticPr fontId="2"/>
  </si>
  <si>
    <t>katsuo_scratch_</t>
    <phoneticPr fontId="2"/>
  </si>
  <si>
    <t>かつお</t>
    <phoneticPr fontId="2"/>
  </si>
  <si>
    <t>Keikeimania</t>
    <phoneticPr fontId="2"/>
  </si>
  <si>
    <t>わす 前垢フォロワーの人フォロバして</t>
    <phoneticPr fontId="2"/>
  </si>
  <si>
    <t>keltainen_omena</t>
    <phoneticPr fontId="2"/>
  </si>
  <si>
    <t>KoTHa_art</t>
    <phoneticPr fontId="2"/>
  </si>
  <si>
    <t>こTは</t>
    <phoneticPr fontId="2"/>
  </si>
  <si>
    <t>kpbr_onsen</t>
    <phoneticPr fontId="2"/>
  </si>
  <si>
    <t>お花湯♨️</t>
    <phoneticPr fontId="2"/>
  </si>
  <si>
    <t>れたすばーがー 🥬🍔</t>
    <phoneticPr fontId="2"/>
  </si>
  <si>
    <t>m_B_____R</t>
    <phoneticPr fontId="2"/>
  </si>
  <si>
    <t>しる</t>
    <phoneticPr fontId="2"/>
  </si>
  <si>
    <t>maluyuu_RCJ</t>
    <phoneticPr fontId="2"/>
  </si>
  <si>
    <t>manupuri_YOUKYA</t>
    <phoneticPr fontId="2"/>
  </si>
  <si>
    <t>まぬぷり</t>
    <phoneticPr fontId="2"/>
  </si>
  <si>
    <t>MatchaGemes_</t>
    <phoneticPr fontId="2"/>
  </si>
  <si>
    <t>まっちゃさんの隠れ家🍵</t>
    <phoneticPr fontId="2"/>
  </si>
  <si>
    <t>mercuryfx_</t>
    <phoneticPr fontId="2"/>
  </si>
  <si>
    <t>Mercury</t>
    <phoneticPr fontId="2"/>
  </si>
  <si>
    <t>mero_curry0213</t>
    <phoneticPr fontId="2"/>
  </si>
  <si>
    <t>meronDZN</t>
    <phoneticPr fontId="2"/>
  </si>
  <si>
    <t>めろん</t>
    <phoneticPr fontId="2"/>
  </si>
  <si>
    <t>meyama0901</t>
    <phoneticPr fontId="2"/>
  </si>
  <si>
    <t>midegathor</t>
    <phoneticPr fontId="2"/>
  </si>
  <si>
    <t>Midelplex</t>
    <phoneticPr fontId="2"/>
  </si>
  <si>
    <t>MidPreis</t>
    <phoneticPr fontId="2"/>
  </si>
  <si>
    <t>みっどぐりーん🥳</t>
    <phoneticPr fontId="2"/>
  </si>
  <si>
    <t>nakakoutv</t>
    <phoneticPr fontId="2"/>
  </si>
  <si>
    <t>nanakusa033</t>
    <phoneticPr fontId="2"/>
  </si>
  <si>
    <t>ななくさ</t>
    <phoneticPr fontId="2"/>
  </si>
  <si>
    <t>NHHKkoppe</t>
    <phoneticPr fontId="2"/>
  </si>
  <si>
    <t>こっぺぱん</t>
    <phoneticPr fontId="2"/>
  </si>
  <si>
    <t>NieL829</t>
    <phoneticPr fontId="2"/>
  </si>
  <si>
    <t>NieL82</t>
    <phoneticPr fontId="2"/>
  </si>
  <si>
    <t>nimda</t>
    <phoneticPr fontId="2"/>
  </si>
  <si>
    <t>pandakun / Koichiめ</t>
    <phoneticPr fontId="2"/>
  </si>
  <si>
    <t>nyaatori</t>
    <phoneticPr fontId="2"/>
  </si>
  <si>
    <t>ニャー鳥</t>
    <phoneticPr fontId="2"/>
  </si>
  <si>
    <t>oldcoinmania</t>
    <phoneticPr fontId="2"/>
  </si>
  <si>
    <t>oohara1910</t>
    <phoneticPr fontId="2"/>
  </si>
  <si>
    <t>ORIHI_SC</t>
    <phoneticPr fontId="2"/>
  </si>
  <si>
    <t>pirates730</t>
    <phoneticPr fontId="2"/>
  </si>
  <si>
    <t>-PiratesArts-</t>
    <phoneticPr fontId="2"/>
  </si>
  <si>
    <t>qramo</t>
    <phoneticPr fontId="2"/>
  </si>
  <si>
    <t>qramo🤑（くらも）🛹📷💻🚘</t>
    <phoneticPr fontId="2"/>
  </si>
  <si>
    <t>rampotchi_</t>
    <phoneticPr fontId="2"/>
  </si>
  <si>
    <t>ランポっち@星詠み☄ ⚓ 👾 🎣 🍃</t>
    <phoneticPr fontId="2"/>
  </si>
  <si>
    <t>RKTSCA</t>
    <phoneticPr fontId="2"/>
  </si>
  <si>
    <t>すかぁ</t>
    <phoneticPr fontId="2"/>
  </si>
  <si>
    <t>s4to329</t>
    <phoneticPr fontId="2"/>
  </si>
  <si>
    <t>さとう</t>
    <phoneticPr fontId="2"/>
  </si>
  <si>
    <t>Sc_Pikurin</t>
    <phoneticPr fontId="2"/>
  </si>
  <si>
    <t>Pikurin</t>
    <phoneticPr fontId="2"/>
  </si>
  <si>
    <t>scratchsatuma</t>
    <phoneticPr fontId="2"/>
  </si>
  <si>
    <t>国産さつまいも100%使用！𝕏</t>
    <phoneticPr fontId="2"/>
  </si>
  <si>
    <t>siopanfactory</t>
    <phoneticPr fontId="2"/>
  </si>
  <si>
    <t>塩パン工房</t>
    <phoneticPr fontId="2"/>
  </si>
  <si>
    <t>stafx6698</t>
    <phoneticPr fontId="2"/>
  </si>
  <si>
    <t>stafx</t>
    <phoneticPr fontId="2"/>
  </si>
  <si>
    <t>suisei1166</t>
    <phoneticPr fontId="2"/>
  </si>
  <si>
    <t>すー</t>
    <phoneticPr fontId="2"/>
  </si>
  <si>
    <t>TAKA_no232323</t>
    <phoneticPr fontId="2"/>
  </si>
  <si>
    <t>たかーの</t>
    <phoneticPr fontId="2"/>
  </si>
  <si>
    <t>TIXDCD</t>
    <phoneticPr fontId="2"/>
  </si>
  <si>
    <t>t9</t>
    <phoneticPr fontId="2"/>
  </si>
  <si>
    <t>Ttro_FX</t>
    <phoneticPr fontId="2"/>
  </si>
  <si>
    <t>Ttro-FX/てーとろ</t>
    <phoneticPr fontId="2"/>
  </si>
  <si>
    <t>TUNA_521</t>
    <phoneticPr fontId="2"/>
  </si>
  <si>
    <t>ツナ</t>
    <phoneticPr fontId="2"/>
  </si>
  <si>
    <t>umiumishitake</t>
    <phoneticPr fontId="2"/>
  </si>
  <si>
    <t>UXRCF_sc</t>
    <phoneticPr fontId="2"/>
  </si>
  <si>
    <t>U𝕏RCF</t>
    <phoneticPr fontId="2"/>
  </si>
  <si>
    <t>Violey_</t>
    <phoneticPr fontId="2"/>
  </si>
  <si>
    <t>Violey</t>
    <phoneticPr fontId="2"/>
  </si>
  <si>
    <t>x____xuu__</t>
    <phoneticPr fontId="2"/>
  </si>
  <si>
    <t>xX0_Mame_0Xx</t>
    <phoneticPr fontId="2"/>
  </si>
  <si>
    <t>豆</t>
    <phoneticPr fontId="2"/>
  </si>
  <si>
    <t>zelveria</t>
    <phoneticPr fontId="2"/>
  </si>
  <si>
    <t>Zelria</t>
    <phoneticPr fontId="2"/>
  </si>
  <si>
    <t>---_--_--_--_--_---</t>
    <phoneticPr fontId="2"/>
  </si>
  <si>
    <t>_mumei_jp_</t>
    <phoneticPr fontId="2"/>
  </si>
  <si>
    <t>Pon0228</t>
    <phoneticPr fontId="2"/>
  </si>
  <si>
    <t>114423</t>
    <phoneticPr fontId="2"/>
  </si>
  <si>
    <t>Anemone_080</t>
    <phoneticPr fontId="2"/>
  </si>
  <si>
    <t>Nightartz</t>
    <phoneticPr fontId="2"/>
  </si>
  <si>
    <t>kotomi-meru</t>
    <phoneticPr fontId="2"/>
  </si>
  <si>
    <t>atyapi-FX</t>
    <phoneticPr fontId="2"/>
  </si>
  <si>
    <t>bantecGG</t>
    <phoneticPr fontId="2"/>
  </si>
  <si>
    <t>BlueYTR35</t>
    <phoneticPr fontId="2"/>
  </si>
  <si>
    <t>-Diamond_Scratch-</t>
    <phoneticPr fontId="2"/>
  </si>
  <si>
    <t>goziratomosura</t>
    <phoneticPr fontId="2"/>
  </si>
  <si>
    <t>doraemon0725</t>
    <phoneticPr fontId="2"/>
  </si>
  <si>
    <t>-ehime-</t>
    <phoneticPr fontId="2"/>
  </si>
  <si>
    <t>pikmi_taisa</t>
    <phoneticPr fontId="2"/>
  </si>
  <si>
    <t>unazyuuoomori</t>
    <phoneticPr fontId="2"/>
  </si>
  <si>
    <t>NeetFX</t>
    <phoneticPr fontId="2"/>
  </si>
  <si>
    <t>GOD54</t>
    <phoneticPr fontId="2"/>
  </si>
  <si>
    <t>GuraTea</t>
    <phoneticPr fontId="2"/>
  </si>
  <si>
    <t>Hiruneman</t>
    <phoneticPr fontId="2"/>
  </si>
  <si>
    <t>02_soramame</t>
    <phoneticPr fontId="2"/>
  </si>
  <si>
    <t>SUPER_PEANUTS</t>
    <phoneticPr fontId="2"/>
  </si>
  <si>
    <t>-Jikky-</t>
    <phoneticPr fontId="2"/>
  </si>
  <si>
    <t>zyobu</t>
    <phoneticPr fontId="2"/>
  </si>
  <si>
    <t>kainoko219444</t>
    <phoneticPr fontId="2"/>
  </si>
  <si>
    <t>roerou</t>
    <phoneticPr fontId="2"/>
  </si>
  <si>
    <t>kasasa01_2009sugu</t>
    <phoneticPr fontId="2"/>
  </si>
  <si>
    <t>katsuo777</t>
    <phoneticPr fontId="2"/>
  </si>
  <si>
    <t>kekelolo</t>
    <phoneticPr fontId="2"/>
  </si>
  <si>
    <t>oka-yu</t>
    <phoneticPr fontId="2"/>
  </si>
  <si>
    <t>LetsBurger</t>
    <phoneticPr fontId="2"/>
  </si>
  <si>
    <t>cixL-</t>
    <phoneticPr fontId="2"/>
  </si>
  <si>
    <t>maluyuu</t>
    <phoneticPr fontId="2"/>
  </si>
  <si>
    <t>manupuri_moemoe</t>
    <phoneticPr fontId="2"/>
  </si>
  <si>
    <t>pokosuke0825</t>
    <phoneticPr fontId="2"/>
  </si>
  <si>
    <t>Creative-18</t>
    <phoneticPr fontId="2"/>
  </si>
  <si>
    <t>meron765</t>
    <phoneticPr fontId="2"/>
  </si>
  <si>
    <t>medatyan</t>
    <phoneticPr fontId="2"/>
  </si>
  <si>
    <t>-MidGreen-</t>
    <phoneticPr fontId="2"/>
  </si>
  <si>
    <t>nakakouTV</t>
    <phoneticPr fontId="2"/>
  </si>
  <si>
    <t>nanakusa03</t>
    <phoneticPr fontId="2"/>
  </si>
  <si>
    <t>koppepann_7698</t>
    <phoneticPr fontId="2"/>
  </si>
  <si>
    <t>pandakun</t>
    <phoneticPr fontId="2"/>
  </si>
  <si>
    <t>kasutori</t>
    <phoneticPr fontId="2"/>
  </si>
  <si>
    <t>Oldcoinmania</t>
    <phoneticPr fontId="2"/>
  </si>
  <si>
    <t>ORIHIKAZE</t>
    <phoneticPr fontId="2"/>
  </si>
  <si>
    <t>kicrage_games</t>
    <phoneticPr fontId="2"/>
  </si>
  <si>
    <t>rampotchi</t>
    <phoneticPr fontId="2"/>
  </si>
  <si>
    <t>ScarletFX</t>
    <phoneticPr fontId="2"/>
  </si>
  <si>
    <t>SugarFX</t>
    <phoneticPr fontId="2"/>
  </si>
  <si>
    <t>satumanooimo-nosuke</t>
    <phoneticPr fontId="2"/>
  </si>
  <si>
    <t>siopan-1210</t>
    <phoneticPr fontId="2"/>
  </si>
  <si>
    <t>Xx_-star-_xX</t>
    <phoneticPr fontId="2"/>
  </si>
  <si>
    <t>ShinobuKochou</t>
    <phoneticPr fontId="2"/>
  </si>
  <si>
    <t>t9decode</t>
    <phoneticPr fontId="2"/>
  </si>
  <si>
    <t>Ttro-FX</t>
    <phoneticPr fontId="2"/>
  </si>
  <si>
    <t>TUNAKANN521</t>
    <phoneticPr fontId="2"/>
  </si>
  <si>
    <t>uminoikimono</t>
    <phoneticPr fontId="2"/>
  </si>
  <si>
    <t>UXRCF</t>
    <phoneticPr fontId="2"/>
  </si>
  <si>
    <t>-VioletArtz-</t>
    <phoneticPr fontId="2"/>
  </si>
  <si>
    <t>ikuradonburi</t>
    <phoneticPr fontId="2"/>
  </si>
  <si>
    <t>xX-_-Mame-_-Xx</t>
    <phoneticPr fontId="2"/>
  </si>
  <si>
    <t>netminn012</t>
  </si>
  <si>
    <t>どっかのネット民</t>
  </si>
  <si>
    <t>Tasa</t>
  </si>
  <si>
    <t>tatatasasasa</t>
  </si>
  <si>
    <t>こーさん/kousan</t>
  </si>
  <si>
    <t>koukou38</t>
  </si>
  <si>
    <t>かける族</t>
  </si>
  <si>
    <t>-25kakeru-25</t>
  </si>
  <si>
    <t>BLACK-FX</t>
  </si>
  <si>
    <t>ケンタのおじさん</t>
  </si>
  <si>
    <t>287228</t>
  </si>
  <si>
    <t>しおさば🧂🐟</t>
  </si>
  <si>
    <t>PQS2017</t>
  </si>
  <si>
    <t>ろあ</t>
  </si>
  <si>
    <t>roainu</t>
  </si>
  <si>
    <t>F₄NOH</t>
  </si>
  <si>
    <t>FlanArtz</t>
  </si>
  <si>
    <t>甘茶飴</t>
  </si>
  <si>
    <t>ginmokusei</t>
  </si>
  <si>
    <t>うみのも</t>
  </si>
  <si>
    <t>ayama</t>
  </si>
  <si>
    <t>-rema</t>
  </si>
  <si>
    <t>Mn__Shigure</t>
  </si>
  <si>
    <t>紫暮麗羅@新人歌い手</t>
  </si>
  <si>
    <t>琵琶湖3411M@タイピングとscratchやってる人</t>
  </si>
  <si>
    <t>hankyurenmei3</t>
  </si>
  <si>
    <t>あさじろー</t>
  </si>
  <si>
    <t>Shiroann</t>
  </si>
  <si>
    <t>ねぎまろ</t>
  </si>
  <si>
    <t>negimaro0312</t>
  </si>
  <si>
    <t>U_mokuzu</t>
    <phoneticPr fontId="2"/>
  </si>
  <si>
    <t>Tasa_intro</t>
    <phoneticPr fontId="2"/>
  </si>
  <si>
    <t>Shiroann_nu</t>
    <phoneticPr fontId="2"/>
  </si>
  <si>
    <t>scratch3411</t>
    <phoneticPr fontId="2"/>
  </si>
  <si>
    <t>Saltmackerel17</t>
    <phoneticPr fontId="2"/>
  </si>
  <si>
    <t>roa_inu</t>
    <phoneticPr fontId="2"/>
  </si>
  <si>
    <t>rip_kousan</t>
    <phoneticPr fontId="2"/>
  </si>
  <si>
    <t>netminn012</t>
    <phoneticPr fontId="2"/>
  </si>
  <si>
    <t>Negimaro031</t>
    <phoneticPr fontId="2"/>
  </si>
  <si>
    <t>Negi3441</t>
    <phoneticPr fontId="2"/>
  </si>
  <si>
    <t>Mn__Shigure</t>
    <phoneticPr fontId="2"/>
  </si>
  <si>
    <t>Cottyann8655</t>
  </si>
  <si>
    <t>🌸弓ぽん@ハリポタ大好きな人🌸</t>
  </si>
  <si>
    <t>総お気に入り数</t>
    <rPh sb="0" eb="1">
      <t>ソウ</t>
    </rPh>
    <rPh sb="2" eb="3">
      <t>キ</t>
    </rPh>
    <rPh sb="4" eb="5">
      <t>イ</t>
    </rPh>
    <rPh sb="6" eb="7">
      <t>スウ</t>
    </rPh>
    <phoneticPr fontId="2"/>
  </si>
  <si>
    <t>月平均お気に入り数</t>
    <rPh sb="0" eb="1">
      <t>ツキ</t>
    </rPh>
    <rPh sb="1" eb="3">
      <t>ヘイキン</t>
    </rPh>
    <rPh sb="4" eb="5">
      <t>キ</t>
    </rPh>
    <rPh sb="6" eb="7">
      <t>イ</t>
    </rPh>
    <rPh sb="8" eb="9">
      <t>スウ</t>
    </rPh>
    <phoneticPr fontId="2"/>
  </si>
  <si>
    <t>PF比</t>
    <rPh sb="2" eb="3">
      <t>ヒ</t>
    </rPh>
    <phoneticPr fontId="2"/>
  </si>
  <si>
    <t>Kentanoojisan</t>
    <phoneticPr fontId="2"/>
  </si>
  <si>
    <t>kakeruzoku</t>
    <phoneticPr fontId="2"/>
  </si>
  <si>
    <t>メタロロ</t>
  </si>
  <si>
    <t>dmmo-com-jp</t>
  </si>
  <si>
    <t>_THIA_K</t>
    <phoneticPr fontId="2"/>
  </si>
  <si>
    <t>mu_ran_ai</t>
  </si>
  <si>
    <t>むーらん＆藍</t>
  </si>
  <si>
    <t>muran-ai</t>
  </si>
  <si>
    <t>総好き数</t>
    <rPh sb="0" eb="1">
      <t>ソウ</t>
    </rPh>
    <rPh sb="1" eb="2">
      <t>ス</t>
    </rPh>
    <rPh sb="3" eb="4">
      <t>スウ</t>
    </rPh>
    <phoneticPr fontId="2"/>
  </si>
  <si>
    <t>月平均好き数</t>
    <rPh sb="0" eb="1">
      <t>ツキ</t>
    </rPh>
    <rPh sb="1" eb="3">
      <t>ヘイキン</t>
    </rPh>
    <rPh sb="5" eb="6">
      <t>スウ</t>
    </rPh>
    <phoneticPr fontId="2"/>
  </si>
  <si>
    <t>草木林森</t>
  </si>
  <si>
    <t>siratama-aya</t>
  </si>
  <si>
    <t>PL比</t>
    <rPh sb="2" eb="3">
      <t>ヒ</t>
    </rPh>
    <phoneticPr fontId="2"/>
  </si>
  <si>
    <t>cit_r1ne</t>
  </si>
  <si>
    <t>Cottyann8655</t>
    <phoneticPr fontId="2"/>
  </si>
  <si>
    <t>F4NOH4164</t>
    <phoneticPr fontId="2"/>
  </si>
  <si>
    <t>ピカソおもかいは有害電波私働きますTetaumatawhakatangihangakoauaotam</t>
  </si>
  <si>
    <t>小島来ましたセリヌンティウス真島</t>
  </si>
  <si>
    <t>hayashi_kusaki</t>
    <phoneticPr fontId="2"/>
  </si>
  <si>
    <t>SpringF𝕏🐾</t>
  </si>
  <si>
    <t>6e6u_</t>
  </si>
  <si>
    <t>kamino_aoto</t>
  </si>
  <si>
    <t>hunahunamelonn</t>
  </si>
  <si>
    <t>夕廉瑠夏</t>
  </si>
  <si>
    <t>muhuu_712</t>
  </si>
  <si>
    <t>無浮雨</t>
  </si>
  <si>
    <t>muhuu712</t>
  </si>
  <si>
    <t>eikokoro</t>
  </si>
  <si>
    <t>lazulite0721</t>
    <phoneticPr fontId="2"/>
  </si>
  <si>
    <t>LightArtz_utl</t>
  </si>
  <si>
    <t>らいと / LightArtz</t>
  </si>
  <si>
    <t>maluyuu</t>
  </si>
  <si>
    <t>metaroro_H2</t>
    <phoneticPr fontId="2"/>
  </si>
  <si>
    <t>_ASA_JIRO_</t>
    <phoneticPr fontId="2"/>
  </si>
  <si>
    <t>ジャンル</t>
    <phoneticPr fontId="2"/>
  </si>
  <si>
    <t>アート</t>
    <phoneticPr fontId="2"/>
  </si>
  <si>
    <t>ジャンルID</t>
    <phoneticPr fontId="2"/>
  </si>
  <si>
    <t>映像</t>
    <rPh sb="0" eb="2">
      <t>エイゾウ</t>
    </rPh>
    <phoneticPr fontId="2"/>
  </si>
  <si>
    <t>ゲーム</t>
    <phoneticPr fontId="2"/>
  </si>
  <si>
    <t>音楽</t>
    <rPh sb="0" eb="2">
      <t>オンガク</t>
    </rPh>
    <phoneticPr fontId="2"/>
  </si>
  <si>
    <t>ららーめん🍜</t>
  </si>
  <si>
    <t>れま。@テスト期間</t>
  </si>
  <si>
    <t>技術</t>
    <rPh sb="0" eb="2">
      <t>ギジュツ</t>
    </rPh>
    <phoneticPr fontId="2"/>
  </si>
  <si>
    <t>Ashibara / あしばら</t>
  </si>
  <si>
    <t>その他</t>
    <rPh sb="2" eb="3">
      <t>タ</t>
    </rPh>
    <phoneticPr fontId="2"/>
  </si>
  <si>
    <t>その他</t>
    <phoneticPr fontId="2"/>
  </si>
  <si>
    <t>ば</t>
  </si>
  <si>
    <t>でしぴくみ ＊低浮上</t>
  </si>
  <si>
    <t>bpb_falche</t>
  </si>
  <si>
    <t>はろける</t>
  </si>
  <si>
    <t>Kainoko / かいのこ</t>
  </si>
  <si>
    <t>蒼人 🐏🤮@固ツイ見てくれ頼む</t>
  </si>
  <si>
    <t>かりかり🍄😇ロゴと作字</t>
  </si>
  <si>
    <t>アカウント削除済</t>
    <rPh sb="5" eb="8">
      <t>サクジョズ</t>
    </rPh>
    <phoneticPr fontId="2"/>
  </si>
  <si>
    <t>SUGUさん。</t>
  </si>
  <si>
    <t>andmanju_</t>
  </si>
  <si>
    <t>andmanju - あんどまんじゅう(Scratcher)</t>
  </si>
  <si>
    <t>andmanju</t>
  </si>
  <si>
    <t>Crown0216_sc</t>
  </si>
  <si>
    <t>くらうん / 映像制作 / Scratch / AviUtl</t>
  </si>
  <si>
    <t>-Crown-FX-</t>
  </si>
  <si>
    <t>MangoGroup ❘ ◢ Avicii ◤</t>
  </si>
  <si>
    <t>mangagroup</t>
    <phoneticPr fontId="2"/>
  </si>
  <si>
    <t>めだ茶</t>
    <phoneticPr fontId="2"/>
  </si>
  <si>
    <t>nakakou</t>
  </si>
  <si>
    <t>こいんまにあ🪙</t>
  </si>
  <si>
    <t>おもかい@映像弱い</t>
  </si>
  <si>
    <t>Atridott ･ la’wjulha</t>
  </si>
  <si>
    <t>Yuk3u</t>
  </si>
  <si>
    <t>Yuk.</t>
  </si>
  <si>
    <t>yukku</t>
  </si>
  <si>
    <t>夏眠</t>
  </si>
  <si>
    <t>ぺいんと / Paint8Q</t>
  </si>
  <si>
    <t>2m_020</t>
  </si>
  <si>
    <t>Pᴏʟʏɢᴏɴ Aʀᴛ</t>
  </si>
  <si>
    <t>PolygonArt</t>
  </si>
  <si>
    <t>NyancoAnime</t>
  </si>
  <si>
    <t>猫月 / Nyanco Animation</t>
  </si>
  <si>
    <t>nyanco-guy</t>
  </si>
  <si>
    <t>めろんぬ</t>
  </si>
  <si>
    <t>troydzn_2gou</t>
  </si>
  <si>
    <t>とろい2号</t>
  </si>
  <si>
    <t>-troydzn-</t>
  </si>
  <si>
    <t>NiraTsukune</t>
  </si>
  <si>
    <t>NiraTsukune / にらつくね</t>
  </si>
  <si>
    <t>NyahaFX</t>
  </si>
  <si>
    <t>にゃは@3さい</t>
  </si>
  <si>
    <t>nyahahanohahaha</t>
  </si>
  <si>
    <t>infhsv</t>
  </si>
  <si>
    <t>infz</t>
  </si>
  <si>
    <t>infinitto</t>
  </si>
  <si>
    <t>lattefx_</t>
  </si>
  <si>
    <t>らて</t>
    <phoneticPr fontId="2"/>
  </si>
  <si>
    <t>Lattefx_sabu</t>
  </si>
  <si>
    <t>uooooooooououo</t>
  </si>
  <si>
    <t>Shαchik^o^u</t>
  </si>
  <si>
    <t>shachikou</t>
  </si>
  <si>
    <t>ham_mog_AviUtl</t>
  </si>
  <si>
    <t>ねこま</t>
  </si>
  <si>
    <t>I___bubble___I</t>
  </si>
  <si>
    <t>らぎねこ@誰引くか悩み中</t>
  </si>
  <si>
    <t>梅りんご/ringo2go</t>
  </si>
  <si>
    <t>しいたけ</t>
  </si>
  <si>
    <t>魚卵</t>
  </si>
  <si>
    <t>yuharu55</t>
  </si>
  <si>
    <t>ゆはる</t>
  </si>
  <si>
    <t>yuharu555</t>
  </si>
  <si>
    <t>hidorus_creator</t>
  </si>
  <si>
    <t>ひどるす │ 文字PV</t>
  </si>
  <si>
    <t>H1D0RUS_218</t>
  </si>
  <si>
    <t>qila_mc</t>
  </si>
  <si>
    <t>くぃりあ</t>
  </si>
  <si>
    <t>BxlInQ</t>
  </si>
  <si>
    <t>yuriy97028800</t>
  </si>
  <si>
    <t>Dhucrix/タックル下北沢</t>
  </si>
  <si>
    <t>buisupo_omura</t>
  </si>
  <si>
    <t>kicrage_Scratch</t>
  </si>
  <si>
    <t>kicrage | Keke</t>
  </si>
  <si>
    <t>ArLgon_sb3</t>
  </si>
  <si>
    <t>あぁるごん.sb3</t>
  </si>
  <si>
    <t>syou2008</t>
  </si>
  <si>
    <t>momo_neeeko</t>
  </si>
  <si>
    <t>もも貓</t>
  </si>
  <si>
    <t>Remu_tv</t>
  </si>
  <si>
    <t>れむ茶🍵#プログラマー</t>
  </si>
  <si>
    <t>kksm-y</t>
  </si>
  <si>
    <t>46491cat</t>
  </si>
  <si>
    <t>ねことら</t>
  </si>
  <si>
    <t>Cat-tiger-</t>
  </si>
  <si>
    <t>kobaDesignz</t>
  </si>
  <si>
    <t>kobajin</t>
  </si>
  <si>
    <t>keityan_eizou</t>
  </si>
  <si>
    <t>寝不足末期なけーちゃ</t>
  </si>
  <si>
    <t>k-sk17</t>
  </si>
  <si>
    <t>ukitomoukinet</t>
  </si>
  <si>
    <t>うきとも🟡</t>
  </si>
  <si>
    <t>okutopas</t>
  </si>
  <si>
    <t>kaneoFX_</t>
  </si>
  <si>
    <t>かねお</t>
  </si>
  <si>
    <t>-kaneofx-</t>
  </si>
  <si>
    <t>kyonoserifu</t>
  </si>
  <si>
    <t>39kyoto</t>
  </si>
  <si>
    <t>SC_kaaakeee</t>
  </si>
  <si>
    <t>かぁーさん/kaaakeee</t>
  </si>
  <si>
    <t>kaaakeee</t>
  </si>
  <si>
    <t>kashiwaa_</t>
  </si>
  <si>
    <t>かしわ/-_kashiwa_-</t>
  </si>
  <si>
    <t>-_kashiwa_-</t>
  </si>
  <si>
    <t>TAKA-kitsu</t>
  </si>
  <si>
    <t>tanabe1419675</t>
  </si>
  <si>
    <t>tanabe14</t>
  </si>
  <si>
    <t>06552355x</t>
  </si>
  <si>
    <t>_AGEPANN</t>
  </si>
  <si>
    <t>poteto1534</t>
  </si>
  <si>
    <t>ぽてと🍟</t>
  </si>
  <si>
    <t>potepo_tomato</t>
  </si>
  <si>
    <t>RRR_scratch</t>
  </si>
  <si>
    <t>★Rai★</t>
  </si>
  <si>
    <t>RRR-scratch</t>
  </si>
  <si>
    <t>Lycka7__</t>
  </si>
  <si>
    <t>Lycka / りゅっか</t>
  </si>
  <si>
    <t>-Lycka-</t>
  </si>
  <si>
    <t>1998ky262_FX</t>
  </si>
  <si>
    <t>Springer_JA</t>
  </si>
  <si>
    <t>iwasiniki</t>
  </si>
  <si>
    <t>Cranberrytrap</t>
  </si>
  <si>
    <t>driveGOX0925</t>
  </si>
  <si>
    <t>driveGOX</t>
  </si>
  <si>
    <t>Lua_yoghurt_oO</t>
  </si>
  <si>
    <t>ルア໒꒱.+</t>
  </si>
  <si>
    <t>Mitsuba-38</t>
  </si>
  <si>
    <t>mit_toka</t>
  </si>
  <si>
    <t>みととか</t>
  </si>
  <si>
    <t>_372</t>
  </si>
  <si>
    <t>sz6hxTLrVs67134</t>
  </si>
  <si>
    <t>蘇ノ乃</t>
  </si>
  <si>
    <t>sonononono</t>
  </si>
  <si>
    <t>bakeneko1212</t>
  </si>
  <si>
    <t>化け猫</t>
  </si>
  <si>
    <t>Kannasiinara</t>
  </si>
  <si>
    <t>わふじ</t>
  </si>
  <si>
    <t>Kyu-ko</t>
  </si>
  <si>
    <t>vlqtz75301</t>
  </si>
  <si>
    <t>みつき</t>
  </si>
  <si>
    <t>sakuraringorururu</t>
  </si>
  <si>
    <t>17yBetelgeuse</t>
  </si>
  <si>
    <t>betelgeuse_17y/べてる</t>
  </si>
  <si>
    <t>betelgeuse_17y</t>
  </si>
  <si>
    <t>aisu_teo</t>
  </si>
  <si>
    <t>Hyoka_.eizo</t>
  </si>
  <si>
    <t>SmewDZN</t>
  </si>
  <si>
    <t>ningennnoyouna</t>
  </si>
  <si>
    <t>ninngennnoyounahito</t>
  </si>
  <si>
    <t>Excel_DZN0832</t>
  </si>
  <si>
    <t>Excel ___</t>
  </si>
  <si>
    <t>ExcelDZN</t>
  </si>
  <si>
    <t>scratch221171</t>
  </si>
  <si>
    <t>さくにぃ@scratch221171</t>
  </si>
  <si>
    <t>221171</t>
  </si>
  <si>
    <t>scratch_U_08</t>
  </si>
  <si>
    <t>U-08</t>
  </si>
  <si>
    <t>2030scratch</t>
  </si>
  <si>
    <t>東急バス好き</t>
  </si>
  <si>
    <t>2030sdgs</t>
  </si>
  <si>
    <t>Vv_ReZ_vV</t>
  </si>
  <si>
    <t>Яe:Z ◼️🌐;ϟᴰ</t>
  </si>
  <si>
    <t>MU-CHAN1008gbt_773</t>
  </si>
  <si>
    <t>_ASA_JIRO_20</t>
  </si>
  <si>
    <t>1110_rema</t>
  </si>
  <si>
    <t>amatyame</t>
  </si>
  <si>
    <t>acerola893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</si>
</sst>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0.0_ "/>
    <numFmt numFmtId="178" formatCode="0.000_ "/>
    <numFmt numFmtId="179" formatCode="#,##0_ "/>
    <numFmt numFmtId="180" formatCode="yyyy/mm"/>
    <numFmt numFmtId="181" formatCode="yyyy/mm/dd"/>
  </numFmts>
  <fonts count="6" x14ac:knownFonts="1"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name val="Noto Sans JP Medium"/>
      <family val="3"/>
      <charset val="128"/>
    </font>
    <font>
      <sz val="9"/>
      <color theme="0"/>
      <name val="Noto Sans JP Medium"/>
      <family val="3"/>
      <charset val="128"/>
    </font>
    <font>
      <sz val="9"/>
      <color rgb="FFFF0000"/>
      <name val="Noto Sans JP Medium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3" fillId="3" borderId="1" xfId="0" applyFont="1" applyFill="1" applyBorder="1" applyAlignment="1">
      <alignment horizontal="center" vertical="center"/>
    </xf>
    <xf numFmtId="180" fontId="3" fillId="3" borderId="1" xfId="0" applyNumberFormat="1" applyFont="1" applyFill="1" applyBorder="1" applyAlignment="1">
      <alignment horizontal="center" vertical="center"/>
    </xf>
    <xf numFmtId="177" fontId="3" fillId="3" borderId="1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81" fontId="3" fillId="2" borderId="1" xfId="0" applyNumberFormat="1" applyFont="1" applyFill="1" applyBorder="1" applyAlignment="1">
      <alignment horizontal="center" vertical="center"/>
    </xf>
    <xf numFmtId="38" fontId="3" fillId="2" borderId="1" xfId="1" applyFont="1" applyFill="1" applyBorder="1" applyAlignment="1">
      <alignment horizontal="center" vertical="center"/>
    </xf>
    <xf numFmtId="178" fontId="3" fillId="2" borderId="1" xfId="0" applyNumberFormat="1" applyFont="1" applyFill="1" applyBorder="1" applyAlignment="1">
      <alignment horizontal="center" vertical="center"/>
    </xf>
    <xf numFmtId="179" fontId="3" fillId="2" borderId="1" xfId="0" applyNumberFormat="1" applyFont="1" applyFill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177" fontId="3" fillId="2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180" fontId="3" fillId="0" borderId="1" xfId="0" applyNumberFormat="1" applyFont="1" applyBorder="1" applyAlignment="1">
      <alignment horizontal="left" vertical="center"/>
    </xf>
    <xf numFmtId="38" fontId="3" fillId="0" borderId="1" xfId="1" applyFont="1" applyBorder="1" applyAlignment="1">
      <alignment horizontal="right" vertical="center"/>
    </xf>
    <xf numFmtId="178" fontId="3" fillId="0" borderId="1" xfId="0" applyNumberFormat="1" applyFont="1" applyBorder="1" applyAlignment="1">
      <alignment horizontal="right" vertical="center"/>
    </xf>
    <xf numFmtId="179" fontId="3" fillId="0" borderId="1" xfId="0" applyNumberFormat="1" applyFont="1" applyBorder="1" applyAlignment="1">
      <alignment horizontal="right" vertical="center"/>
    </xf>
    <xf numFmtId="177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 applyAlignment="1">
      <alignment horizontal="left" vertical="center"/>
    </xf>
    <xf numFmtId="181" fontId="3" fillId="0" borderId="1" xfId="0" applyNumberFormat="1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176" fontId="3" fillId="0" borderId="1" xfId="0" applyNumberFormat="1" applyFont="1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right" vertical="center"/>
    </xf>
    <xf numFmtId="0" fontId="3" fillId="0" borderId="1" xfId="0" applyFont="1" applyBorder="1">
      <alignment vertical="center"/>
    </xf>
    <xf numFmtId="0" fontId="3" fillId="0" borderId="0" xfId="0" applyFont="1" applyAlignment="1">
      <alignment horizontal="left" vertical="center"/>
    </xf>
    <xf numFmtId="180" fontId="3" fillId="0" borderId="0" xfId="0" applyNumberFormat="1" applyFont="1" applyAlignment="1">
      <alignment horizontal="left" vertical="center"/>
    </xf>
    <xf numFmtId="38" fontId="3" fillId="0" borderId="0" xfId="1" applyFont="1" applyBorder="1" applyAlignment="1">
      <alignment horizontal="right" vertical="center"/>
    </xf>
    <xf numFmtId="178" fontId="3" fillId="0" borderId="0" xfId="0" applyNumberFormat="1" applyFont="1" applyAlignment="1">
      <alignment horizontal="right" vertical="center"/>
    </xf>
    <xf numFmtId="179" fontId="3" fillId="0" borderId="0" xfId="0" applyNumberFormat="1" applyFont="1" applyAlignment="1">
      <alignment horizontal="right" vertical="center"/>
    </xf>
    <xf numFmtId="177" fontId="3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181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38" fontId="3" fillId="0" borderId="0" xfId="1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3" fontId="3" fillId="0" borderId="1" xfId="0" applyNumberFormat="1" applyFont="1" applyBorder="1" applyAlignment="1">
      <alignment horizontal="right" vertical="center"/>
    </xf>
    <xf numFmtId="3" fontId="3" fillId="0" borderId="0" xfId="0" applyNumberFormat="1" applyFont="1" applyAlignment="1">
      <alignment horizontal="right" vertical="center"/>
    </xf>
    <xf numFmtId="181" fontId="3" fillId="0" borderId="1" xfId="0" applyNumberFormat="1" applyFont="1" applyBorder="1" applyAlignment="1">
      <alignment horizontal="right" vertical="center"/>
    </xf>
    <xf numFmtId="181" fontId="3" fillId="0" borderId="0" xfId="0" applyNumberFormat="1" applyFont="1" applyAlignment="1">
      <alignment horizontal="right" vertical="center"/>
    </xf>
  </cellXfs>
  <cellStyles count="2">
    <cellStyle name="桁区切り" xfId="1" builtinId="6"/>
    <cellStyle name="標準" xfId="0" builtinId="0"/>
  </cellStyles>
  <dxfs count="5"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CC11D-A932-4C18-8071-2A2BAF4B5E9D}">
  <sheetPr codeName="Sheet1">
    <pageSetUpPr fitToPage="1"/>
  </sheetPr>
  <dimension ref="A1:Y202"/>
  <sheetViews>
    <sheetView tabSelected="1" zoomScale="70" zoomScaleNormal="70" workbookViewId="0">
      <pane ySplit="1" topLeftCell="A2" activePane="bottomLeft" state="frozen"/>
      <selection activeCell="G1" sqref="G1"/>
      <selection pane="bottomLeft" activeCell="C9" sqref="C9"/>
    </sheetView>
  </sheetViews>
  <sheetFormatPr defaultColWidth="19.375" defaultRowHeight="14.4" x14ac:dyDescent="0.4"/>
  <cols>
    <col min="1" max="1" width="21.875" style="26" customWidth="1"/>
    <col min="2" max="2" width="81.25" style="26" bestFit="1" customWidth="1"/>
    <col min="3" max="3" width="36.875" style="26" bestFit="1" customWidth="1"/>
    <col min="4" max="4" width="10" style="27" bestFit="1" customWidth="1"/>
    <col min="5" max="5" width="21" style="34" bestFit="1" customWidth="1"/>
    <col min="6" max="6" width="18.75" style="31" bestFit="1" customWidth="1"/>
    <col min="7" max="7" width="25.5" style="32" bestFit="1" customWidth="1"/>
    <col min="8" max="8" width="57.75" style="26" customWidth="1"/>
    <col min="9" max="9" width="11.75" style="34" bestFit="1" customWidth="1"/>
    <col min="10" max="10" width="9.75" style="26" bestFit="1" customWidth="1"/>
    <col min="11" max="11" width="12.5" style="33" bestFit="1" customWidth="1"/>
    <col min="12" max="12" width="25.5" style="34" bestFit="1" customWidth="1"/>
    <col min="13" max="13" width="12.125" style="35" bestFit="1" customWidth="1"/>
    <col min="14" max="14" width="14.25" style="35" bestFit="1" customWidth="1"/>
    <col min="15" max="15" width="8.375" style="29" bestFit="1" customWidth="1"/>
    <col min="16" max="16" width="8" style="30" bestFit="1" customWidth="1"/>
    <col min="17" max="17" width="16.5" style="24" bestFit="1" customWidth="1"/>
    <col min="18" max="18" width="10" style="39" bestFit="1" customWidth="1"/>
    <col min="19" max="19" width="14.25" style="24" bestFit="1" customWidth="1"/>
    <col min="20" max="20" width="8.375" style="24" bestFit="1" customWidth="1"/>
    <col min="21" max="21" width="16.5" style="30" bestFit="1" customWidth="1"/>
    <col min="22" max="22" width="21" style="24" bestFit="1" customWidth="1"/>
    <col min="23" max="23" width="8.375" style="24" bestFit="1" customWidth="1"/>
    <col min="24" max="24" width="18.75" style="26" bestFit="1" customWidth="1"/>
    <col min="25" max="16384" width="19.375" style="23"/>
  </cols>
  <sheetData>
    <row r="1" spans="1:24" s="12" customFormat="1" x14ac:dyDescent="0.4">
      <c r="A1" s="1" t="s">
        <v>10</v>
      </c>
      <c r="B1" s="1" t="s">
        <v>9</v>
      </c>
      <c r="C1" s="1" t="s">
        <v>147</v>
      </c>
      <c r="D1" s="2" t="s">
        <v>1</v>
      </c>
      <c r="E1" s="1" t="s">
        <v>5</v>
      </c>
      <c r="F1" s="3" t="s">
        <v>13</v>
      </c>
      <c r="G1" s="4" t="s">
        <v>0</v>
      </c>
      <c r="H1" s="5" t="s">
        <v>147</v>
      </c>
      <c r="I1" s="5" t="s">
        <v>425</v>
      </c>
      <c r="J1" s="5" t="s">
        <v>423</v>
      </c>
      <c r="K1" s="6" t="s">
        <v>4</v>
      </c>
      <c r="L1" s="5" t="s">
        <v>17</v>
      </c>
      <c r="M1" s="7" t="s">
        <v>2</v>
      </c>
      <c r="N1" s="7" t="s">
        <v>3</v>
      </c>
      <c r="O1" s="8" t="s">
        <v>6</v>
      </c>
      <c r="P1" s="9" t="s">
        <v>7</v>
      </c>
      <c r="Q1" s="10" t="s">
        <v>8</v>
      </c>
      <c r="R1" s="37" t="s">
        <v>397</v>
      </c>
      <c r="S1" s="10" t="s">
        <v>398</v>
      </c>
      <c r="T1" s="10" t="s">
        <v>401</v>
      </c>
      <c r="U1" s="9" t="s">
        <v>386</v>
      </c>
      <c r="V1" s="10" t="s">
        <v>387</v>
      </c>
      <c r="W1" s="10" t="s">
        <v>388</v>
      </c>
      <c r="X1" s="11" t="s">
        <v>13</v>
      </c>
    </row>
    <row r="2" spans="1:24" x14ac:dyDescent="0.4">
      <c r="A2" s="13" t="s">
        <v>596</v>
      </c>
      <c r="B2" s="13" t="s">
        <v>369</v>
      </c>
      <c r="C2" s="13" t="str">
        <f t="shared" ref="C2:C65" si="0">"https://x.com/"&amp;A2</f>
        <v>https://x.com/_ASA_JIRO_20</v>
      </c>
      <c r="D2" s="14">
        <v>45323</v>
      </c>
      <c r="E2" s="40" t="str">
        <f t="shared" ref="E2:E65" ca="1" si="1">DATEDIF($D2,TODAY(),"y")&amp;"年"&amp;DATEDIF($D2,TODAY(),"YM")&amp;"ヵ月"</f>
        <v>0年4ヵ月</v>
      </c>
      <c r="F2" s="18"/>
      <c r="G2" s="19" t="s">
        <v>422</v>
      </c>
      <c r="H2" s="13" t="str">
        <f t="shared" ref="H2:H65" si="2">"https://scratch.mit.edu/users/"&amp;G2&amp;"/"</f>
        <v>https://scratch.mit.edu/users/_ASA_JIRO_/</v>
      </c>
      <c r="I2" s="21">
        <v>1</v>
      </c>
      <c r="J2" s="13" t="s">
        <v>424</v>
      </c>
      <c r="K2" s="20" t="str">
        <f>SUBSTITUTE(MID(_xlfn.WEBSERVICE("https://api.scratch.mit.edu/users/"&amp;$G2),FIND("joined",_xlfn.WEBSERVICE("https://api.scratch.mit.edu/users/"&amp;$G2))+9,10),"-","/")</f>
        <v>2023/07/23</v>
      </c>
      <c r="L2" s="40" t="str">
        <f ca="1">DATEDIF($K2,TODAY(),"y")&amp;"年"&amp;DATEDIF($K2,TODAY(),"YM")&amp;"ヵ月"&amp;DATEDIF($K2,TODAY(),"md")&amp;"日"</f>
        <v>0年10ヵ月14日</v>
      </c>
      <c r="M2" s="15">
        <v>165</v>
      </c>
      <c r="N2" s="15">
        <v>671</v>
      </c>
      <c r="O2" s="16">
        <f t="shared" ref="O2:O65" si="3">M2/N2</f>
        <v>0.24590163934426229</v>
      </c>
      <c r="P2" s="17">
        <v>40</v>
      </c>
      <c r="Q2" s="22">
        <f t="shared" ref="Q2:Q65" ca="1" si="4">IFERROR(P2/(DATEDIF(K2,TODAY(),"d")/30),0)</f>
        <v>3.761755485893417</v>
      </c>
      <c r="R2" s="38">
        <v>747</v>
      </c>
      <c r="S2" s="22">
        <f t="shared" ref="S2:S65" ca="1" si="5">IFERROR(R2/(DATEDIF($K2,TODAY(),"d")/30),0)</f>
        <v>70.250783699059568</v>
      </c>
      <c r="T2" s="22">
        <f t="shared" ref="T2:T33" si="6">IFERROR(R2/$P2,0)</f>
        <v>18.675000000000001</v>
      </c>
      <c r="U2" s="17">
        <v>634</v>
      </c>
      <c r="V2" s="22">
        <f t="shared" ref="V2:V65" ca="1" si="7">IFERROR(U2/(DATEDIF(K2,TODAY(),"d")/30),0)</f>
        <v>59.623824451410663</v>
      </c>
      <c r="W2" s="22">
        <f t="shared" ref="W2:W65" si="8">IFERROR(U2/$P2,0)</f>
        <v>15.85</v>
      </c>
      <c r="X2" s="13"/>
    </row>
    <row r="3" spans="1:24" x14ac:dyDescent="0.4">
      <c r="A3" s="13" t="s">
        <v>597</v>
      </c>
      <c r="B3" s="13" t="s">
        <v>430</v>
      </c>
      <c r="C3" s="13" t="str">
        <f t="shared" si="0"/>
        <v>https://x.com/1110_rema</v>
      </c>
      <c r="D3" s="14">
        <v>45047</v>
      </c>
      <c r="E3" s="40" t="str">
        <f t="shared" ca="1" si="1"/>
        <v>1年1ヵ月</v>
      </c>
      <c r="F3" s="18"/>
      <c r="G3" s="19" t="s">
        <v>364</v>
      </c>
      <c r="H3" s="13" t="str">
        <f t="shared" si="2"/>
        <v>https://scratch.mit.edu/users/-rema/</v>
      </c>
      <c r="I3" s="21">
        <v>1</v>
      </c>
      <c r="J3" s="13" t="s">
        <v>424</v>
      </c>
      <c r="K3" s="20" t="str">
        <f t="shared" ref="K3:K66" si="9">SUBSTITUTE(MID(_xlfn.WEBSERVICE("https://api.scratch.mit.edu/users/"&amp;$G3),FIND("joined",_xlfn.WEBSERVICE("https://api.scratch.mit.edu/users/"&amp;$G3))+9,10),"-","/")</f>
        <v>2023/01/08</v>
      </c>
      <c r="L3" s="40" t="str">
        <f t="shared" ref="L3:L66" ca="1" si="10">DATEDIF($K3,TODAY(),"y")&amp;"年"&amp;DATEDIF($K3,TODAY(),"YM")&amp;"ヵ月"&amp;DATEDIF($K3,TODAY(),"md")&amp;"日"</f>
        <v>1年4ヵ月29日</v>
      </c>
      <c r="M3" s="15">
        <v>25</v>
      </c>
      <c r="N3" s="15">
        <v>655</v>
      </c>
      <c r="O3" s="16">
        <f t="shared" si="3"/>
        <v>3.8167938931297711E-2</v>
      </c>
      <c r="P3" s="17">
        <v>72</v>
      </c>
      <c r="Q3" s="22">
        <f t="shared" ca="1" si="4"/>
        <v>4.1941747572815533</v>
      </c>
      <c r="R3" s="38">
        <v>140</v>
      </c>
      <c r="S3" s="22">
        <f t="shared" ca="1" si="5"/>
        <v>8.1553398058252426</v>
      </c>
      <c r="T3" s="22">
        <f t="shared" si="6"/>
        <v>1.9444444444444444</v>
      </c>
      <c r="U3" s="17">
        <v>116</v>
      </c>
      <c r="V3" s="22">
        <f t="shared" ca="1" si="7"/>
        <v>6.7572815533980579</v>
      </c>
      <c r="W3" s="22">
        <f t="shared" si="8"/>
        <v>1.6111111111111112</v>
      </c>
      <c r="X3" s="13"/>
    </row>
    <row r="4" spans="1:24" x14ac:dyDescent="0.4">
      <c r="A4" s="13" t="s">
        <v>462</v>
      </c>
      <c r="B4" s="13" t="s">
        <v>463</v>
      </c>
      <c r="C4" s="13" t="str">
        <f t="shared" si="0"/>
        <v>https://x.com/2m_020</v>
      </c>
      <c r="D4" s="14">
        <v>44986</v>
      </c>
      <c r="E4" s="21" t="str">
        <f t="shared" ca="1" si="1"/>
        <v>1年3ヵ月</v>
      </c>
      <c r="F4" s="18"/>
      <c r="G4" s="19" t="s">
        <v>464</v>
      </c>
      <c r="H4" s="13" t="str">
        <f t="shared" si="2"/>
        <v>https://scratch.mit.edu/users/PolygonArt/</v>
      </c>
      <c r="I4" s="21">
        <v>1</v>
      </c>
      <c r="J4" s="13" t="s">
        <v>424</v>
      </c>
      <c r="K4" s="20" t="str">
        <f t="shared" si="9"/>
        <v>2022/10/16</v>
      </c>
      <c r="L4" s="40" t="str">
        <f t="shared" ca="1" si="10"/>
        <v>1年7ヵ月21日</v>
      </c>
      <c r="M4" s="15">
        <v>46</v>
      </c>
      <c r="N4" s="15">
        <v>347</v>
      </c>
      <c r="O4" s="16">
        <f t="shared" si="3"/>
        <v>0.13256484149855907</v>
      </c>
      <c r="P4" s="17">
        <v>5</v>
      </c>
      <c r="Q4" s="22">
        <f t="shared" ca="1" si="4"/>
        <v>0.25041736227045075</v>
      </c>
      <c r="R4" s="38">
        <v>289</v>
      </c>
      <c r="S4" s="22">
        <f t="shared" ca="1" si="5"/>
        <v>14.474123539232055</v>
      </c>
      <c r="T4" s="22">
        <f t="shared" si="6"/>
        <v>57.8</v>
      </c>
      <c r="U4" s="17">
        <v>230</v>
      </c>
      <c r="V4" s="22">
        <f t="shared" ca="1" si="7"/>
        <v>11.519198664440735</v>
      </c>
      <c r="W4" s="22">
        <f t="shared" si="8"/>
        <v>46</v>
      </c>
      <c r="X4" s="13"/>
    </row>
    <row r="5" spans="1:24" x14ac:dyDescent="0.4">
      <c r="A5" s="13" t="s">
        <v>409</v>
      </c>
      <c r="B5" s="13" t="s">
        <v>201</v>
      </c>
      <c r="C5" s="13" t="str">
        <f t="shared" si="0"/>
        <v>https://x.com/6e6u_</v>
      </c>
      <c r="D5" s="14">
        <v>45261</v>
      </c>
      <c r="E5" s="40" t="str">
        <f t="shared" ca="1" si="1"/>
        <v>0年6ヵ月</v>
      </c>
      <c r="F5" s="18"/>
      <c r="G5" s="19" t="s">
        <v>306</v>
      </c>
      <c r="H5" s="13" t="str">
        <f t="shared" si="2"/>
        <v>https://scratch.mit.edu/users/roerou/</v>
      </c>
      <c r="I5" s="21">
        <v>1</v>
      </c>
      <c r="J5" s="13" t="s">
        <v>424</v>
      </c>
      <c r="K5" s="20" t="str">
        <f t="shared" si="9"/>
        <v>2023/04/25</v>
      </c>
      <c r="L5" s="40" t="str">
        <f t="shared" ca="1" si="10"/>
        <v>1年1ヵ月12日</v>
      </c>
      <c r="M5" s="15">
        <v>127</v>
      </c>
      <c r="N5" s="15">
        <v>1042</v>
      </c>
      <c r="O5" s="16">
        <f t="shared" si="3"/>
        <v>0.1218809980806142</v>
      </c>
      <c r="P5" s="17">
        <v>67</v>
      </c>
      <c r="Q5" s="22">
        <f t="shared" ca="1" si="4"/>
        <v>4.9264705882352944</v>
      </c>
      <c r="R5" s="38">
        <v>913</v>
      </c>
      <c r="S5" s="22">
        <f t="shared" ca="1" si="5"/>
        <v>67.132352941176478</v>
      </c>
      <c r="T5" s="22">
        <f t="shared" si="6"/>
        <v>13.626865671641792</v>
      </c>
      <c r="U5" s="17">
        <v>256</v>
      </c>
      <c r="V5" s="22">
        <f t="shared" ca="1" si="7"/>
        <v>18.823529411764707</v>
      </c>
      <c r="W5" s="22">
        <f t="shared" si="8"/>
        <v>3.8208955223880596</v>
      </c>
      <c r="X5" s="13"/>
    </row>
    <row r="6" spans="1:24" x14ac:dyDescent="0.4">
      <c r="A6" s="13" t="s">
        <v>599</v>
      </c>
      <c r="B6" s="13" t="s">
        <v>130</v>
      </c>
      <c r="C6" s="13" t="str">
        <f t="shared" si="0"/>
        <v>https://x.com/acerola893</v>
      </c>
      <c r="D6" s="14">
        <v>45261</v>
      </c>
      <c r="E6" s="40" t="str">
        <f t="shared" ca="1" si="1"/>
        <v>0年6ヵ月</v>
      </c>
      <c r="F6" s="18"/>
      <c r="G6" s="19" t="s">
        <v>129</v>
      </c>
      <c r="H6" s="13" t="str">
        <f t="shared" si="2"/>
        <v>https://scratch.mit.edu/users/-Cavlle-/</v>
      </c>
      <c r="I6" s="21">
        <v>1</v>
      </c>
      <c r="J6" s="13" t="s">
        <v>424</v>
      </c>
      <c r="K6" s="20" t="str">
        <f t="shared" si="9"/>
        <v>2024/01/19</v>
      </c>
      <c r="L6" s="40" t="str">
        <f t="shared" ca="1" si="10"/>
        <v>0年4ヵ月18日</v>
      </c>
      <c r="M6" s="15">
        <v>23</v>
      </c>
      <c r="N6" s="15">
        <v>108</v>
      </c>
      <c r="O6" s="16">
        <f t="shared" si="3"/>
        <v>0.21296296296296297</v>
      </c>
      <c r="P6" s="17">
        <v>15</v>
      </c>
      <c r="Q6" s="22">
        <f t="shared" ca="1" si="4"/>
        <v>3.2374100719424459</v>
      </c>
      <c r="R6" s="38">
        <v>102</v>
      </c>
      <c r="S6" s="22">
        <f t="shared" ca="1" si="5"/>
        <v>22.014388489208631</v>
      </c>
      <c r="T6" s="22">
        <f t="shared" si="6"/>
        <v>6.8</v>
      </c>
      <c r="U6" s="17">
        <v>45</v>
      </c>
      <c r="V6" s="22">
        <f t="shared" ca="1" si="7"/>
        <v>9.7122302158273381</v>
      </c>
      <c r="W6" s="22">
        <f t="shared" si="8"/>
        <v>3</v>
      </c>
      <c r="X6" s="13"/>
    </row>
    <row r="7" spans="1:24" x14ac:dyDescent="0.4">
      <c r="A7" s="13" t="s">
        <v>598</v>
      </c>
      <c r="B7" s="13" t="s">
        <v>360</v>
      </c>
      <c r="C7" s="13" t="str">
        <f t="shared" si="0"/>
        <v>https://x.com/amatyame</v>
      </c>
      <c r="D7" s="14">
        <v>44256</v>
      </c>
      <c r="E7" s="40" t="str">
        <f t="shared" ca="1" si="1"/>
        <v>3年3ヵ月</v>
      </c>
      <c r="F7" s="18"/>
      <c r="G7" s="19" t="s">
        <v>361</v>
      </c>
      <c r="H7" s="13" t="str">
        <f t="shared" si="2"/>
        <v>https://scratch.mit.edu/users/ginmokusei/</v>
      </c>
      <c r="I7" s="21">
        <v>1</v>
      </c>
      <c r="J7" s="13" t="s">
        <v>424</v>
      </c>
      <c r="K7" s="20" t="str">
        <f t="shared" si="9"/>
        <v>2020/07/09</v>
      </c>
      <c r="L7" s="40" t="str">
        <f t="shared" ca="1" si="10"/>
        <v>3年10ヵ月28日</v>
      </c>
      <c r="M7" s="15">
        <v>49</v>
      </c>
      <c r="N7" s="15">
        <v>1018</v>
      </c>
      <c r="O7" s="16">
        <f t="shared" si="3"/>
        <v>4.8133595284872301E-2</v>
      </c>
      <c r="P7" s="17">
        <v>158</v>
      </c>
      <c r="Q7" s="22">
        <f t="shared" ca="1" si="4"/>
        <v>3.3193277310924367</v>
      </c>
      <c r="R7" s="38">
        <v>152</v>
      </c>
      <c r="S7" s="22">
        <f t="shared" ca="1" si="5"/>
        <v>3.1932773109243695</v>
      </c>
      <c r="T7" s="22">
        <f t="shared" si="6"/>
        <v>0.96202531645569622</v>
      </c>
      <c r="U7" s="17">
        <v>141</v>
      </c>
      <c r="V7" s="22">
        <f t="shared" ca="1" si="7"/>
        <v>2.9621848739495795</v>
      </c>
      <c r="W7" s="22">
        <f t="shared" si="8"/>
        <v>0.89240506329113922</v>
      </c>
      <c r="X7" s="13"/>
    </row>
    <row r="8" spans="1:24" x14ac:dyDescent="0.4">
      <c r="A8" s="25" t="s">
        <v>18</v>
      </c>
      <c r="B8" s="13" t="s">
        <v>123</v>
      </c>
      <c r="C8" s="13" t="str">
        <f t="shared" si="0"/>
        <v>https://x.com/atomic_osushi</v>
      </c>
      <c r="D8" s="14">
        <v>44348</v>
      </c>
      <c r="E8" s="40" t="str">
        <f t="shared" ca="1" si="1"/>
        <v>3年0ヵ月</v>
      </c>
      <c r="F8" s="18"/>
      <c r="G8" s="19" t="s">
        <v>122</v>
      </c>
      <c r="H8" s="13" t="str">
        <f t="shared" si="2"/>
        <v>https://scratch.mit.edu/users/atomic-osushi/</v>
      </c>
      <c r="I8" s="21">
        <v>1</v>
      </c>
      <c r="J8" s="13" t="s">
        <v>424</v>
      </c>
      <c r="K8" s="20" t="str">
        <f t="shared" si="9"/>
        <v>2021/02/24</v>
      </c>
      <c r="L8" s="40" t="str">
        <f t="shared" ca="1" si="10"/>
        <v>3年3ヵ月13日</v>
      </c>
      <c r="M8" s="15">
        <v>51</v>
      </c>
      <c r="N8" s="15">
        <v>5848</v>
      </c>
      <c r="O8" s="16">
        <f t="shared" si="3"/>
        <v>8.7209302325581394E-3</v>
      </c>
      <c r="P8" s="17">
        <v>28</v>
      </c>
      <c r="Q8" s="22">
        <f t="shared" ca="1" si="4"/>
        <v>0.70116861435726219</v>
      </c>
      <c r="R8" s="38">
        <v>508</v>
      </c>
      <c r="S8" s="22">
        <f t="shared" ca="1" si="5"/>
        <v>12.721202003338899</v>
      </c>
      <c r="T8" s="22">
        <f t="shared" si="6"/>
        <v>18.142857142857142</v>
      </c>
      <c r="U8" s="17">
        <v>363</v>
      </c>
      <c r="V8" s="22">
        <f t="shared" ca="1" si="7"/>
        <v>9.0901502504173628</v>
      </c>
      <c r="W8" s="22">
        <f t="shared" si="8"/>
        <v>12.964285714285714</v>
      </c>
      <c r="X8" s="13"/>
    </row>
    <row r="9" spans="1:24" x14ac:dyDescent="0.4">
      <c r="A9" s="13" t="s">
        <v>566</v>
      </c>
      <c r="B9" s="13" t="s">
        <v>567</v>
      </c>
      <c r="C9" s="13" t="str">
        <f t="shared" si="0"/>
        <v>https://x.com/bakeneko1212</v>
      </c>
      <c r="D9" s="14">
        <v>45017</v>
      </c>
      <c r="E9" s="21" t="str">
        <f t="shared" ca="1" si="1"/>
        <v>1年2ヵ月</v>
      </c>
      <c r="F9" s="18"/>
      <c r="G9" s="19" t="s">
        <v>566</v>
      </c>
      <c r="H9" s="13" t="str">
        <f t="shared" si="2"/>
        <v>https://scratch.mit.edu/users/bakeneko1212/</v>
      </c>
      <c r="I9" s="21">
        <v>1</v>
      </c>
      <c r="J9" s="13" t="s">
        <v>424</v>
      </c>
      <c r="K9" s="20" t="str">
        <f t="shared" si="9"/>
        <v>2023/03/24</v>
      </c>
      <c r="L9" s="40" t="str">
        <f t="shared" ca="1" si="10"/>
        <v>1年2ヵ月13日</v>
      </c>
      <c r="M9" s="15">
        <v>57</v>
      </c>
      <c r="N9" s="15">
        <v>389</v>
      </c>
      <c r="O9" s="16">
        <f t="shared" si="3"/>
        <v>0.14652956298200515</v>
      </c>
      <c r="P9" s="17">
        <v>173</v>
      </c>
      <c r="Q9" s="22">
        <f t="shared" ca="1" si="4"/>
        <v>11.795454545454547</v>
      </c>
      <c r="R9" s="38">
        <v>500</v>
      </c>
      <c r="S9" s="22">
        <f t="shared" ca="1" si="5"/>
        <v>34.090909090909093</v>
      </c>
      <c r="T9" s="22">
        <f t="shared" si="6"/>
        <v>2.8901734104046244</v>
      </c>
      <c r="U9" s="17">
        <v>420</v>
      </c>
      <c r="V9" s="22">
        <f t="shared" ca="1" si="7"/>
        <v>28.636363636363637</v>
      </c>
      <c r="W9" s="22">
        <f t="shared" si="8"/>
        <v>2.4277456647398843</v>
      </c>
      <c r="X9" s="13"/>
    </row>
    <row r="10" spans="1:24" x14ac:dyDescent="0.4">
      <c r="A10" s="13" t="s">
        <v>403</v>
      </c>
      <c r="B10" s="13" t="s">
        <v>385</v>
      </c>
      <c r="C10" s="13" t="str">
        <f t="shared" si="0"/>
        <v>https://x.com/Cottyann8655</v>
      </c>
      <c r="D10" s="14">
        <v>45017</v>
      </c>
      <c r="E10" s="40" t="str">
        <f t="shared" ca="1" si="1"/>
        <v>1年2ヵ月</v>
      </c>
      <c r="F10" s="18"/>
      <c r="G10" s="19" t="s">
        <v>384</v>
      </c>
      <c r="H10" s="13" t="str">
        <f t="shared" si="2"/>
        <v>https://scratch.mit.edu/users/Cottyann8655/</v>
      </c>
      <c r="I10" s="21">
        <v>1</v>
      </c>
      <c r="J10" s="13" t="s">
        <v>424</v>
      </c>
      <c r="K10" s="20" t="str">
        <f t="shared" si="9"/>
        <v>2022/05/23</v>
      </c>
      <c r="L10" s="40" t="str">
        <f t="shared" ca="1" si="10"/>
        <v>2年0ヵ月14日</v>
      </c>
      <c r="M10" s="15">
        <v>1089</v>
      </c>
      <c r="N10" s="15">
        <v>864</v>
      </c>
      <c r="O10" s="16">
        <f t="shared" si="3"/>
        <v>1.2604166666666667</v>
      </c>
      <c r="P10" s="17">
        <v>340</v>
      </c>
      <c r="Q10" s="22">
        <f t="shared" ca="1" si="4"/>
        <v>13.691275167785236</v>
      </c>
      <c r="R10" s="38">
        <v>2223</v>
      </c>
      <c r="S10" s="22">
        <f t="shared" ca="1" si="5"/>
        <v>89.516778523489933</v>
      </c>
      <c r="T10" s="22">
        <f t="shared" si="6"/>
        <v>6.5382352941176469</v>
      </c>
      <c r="U10" s="17">
        <v>2168</v>
      </c>
      <c r="V10" s="22">
        <f t="shared" ca="1" si="7"/>
        <v>87.302013422818803</v>
      </c>
      <c r="W10" s="22">
        <f t="shared" si="8"/>
        <v>6.3764705882352946</v>
      </c>
      <c r="X10" s="13"/>
    </row>
    <row r="11" spans="1:24" x14ac:dyDescent="0.4">
      <c r="A11" s="13" t="s">
        <v>178</v>
      </c>
      <c r="B11" s="13" t="s">
        <v>179</v>
      </c>
      <c r="C11" s="13" t="str">
        <f t="shared" si="0"/>
        <v>https://x.com/e_hime__</v>
      </c>
      <c r="D11" s="14">
        <v>44774</v>
      </c>
      <c r="E11" s="40" t="str">
        <f t="shared" ca="1" si="1"/>
        <v>1年10ヵ月</v>
      </c>
      <c r="F11" s="18"/>
      <c r="G11" s="19" t="s">
        <v>294</v>
      </c>
      <c r="H11" s="13" t="str">
        <f t="shared" si="2"/>
        <v>https://scratch.mit.edu/users/-ehime-/</v>
      </c>
      <c r="I11" s="21">
        <v>1</v>
      </c>
      <c r="J11" s="13" t="s">
        <v>424</v>
      </c>
      <c r="K11" s="20" t="str">
        <f t="shared" si="9"/>
        <v>2022/06/09</v>
      </c>
      <c r="L11" s="40" t="str">
        <f t="shared" ca="1" si="10"/>
        <v>1年11ヵ月28日</v>
      </c>
      <c r="M11" s="15">
        <v>26</v>
      </c>
      <c r="N11" s="15">
        <v>88</v>
      </c>
      <c r="O11" s="16">
        <f t="shared" si="3"/>
        <v>0.29545454545454547</v>
      </c>
      <c r="P11" s="17">
        <v>1</v>
      </c>
      <c r="Q11" s="22">
        <f t="shared" ca="1" si="4"/>
        <v>4.1208791208791208E-2</v>
      </c>
      <c r="R11" s="38">
        <v>173</v>
      </c>
      <c r="S11" s="22">
        <f t="shared" ca="1" si="5"/>
        <v>7.1291208791208796</v>
      </c>
      <c r="T11" s="22">
        <f t="shared" si="6"/>
        <v>173</v>
      </c>
      <c r="U11" s="17">
        <v>27</v>
      </c>
      <c r="V11" s="22">
        <f t="shared" ca="1" si="7"/>
        <v>1.1126373626373627</v>
      </c>
      <c r="W11" s="22">
        <f t="shared" si="8"/>
        <v>27</v>
      </c>
      <c r="X11" s="13"/>
    </row>
    <row r="12" spans="1:24" x14ac:dyDescent="0.4">
      <c r="A12" s="13" t="s">
        <v>103</v>
      </c>
      <c r="B12" s="13" t="s">
        <v>102</v>
      </c>
      <c r="C12" s="13" t="str">
        <f t="shared" si="0"/>
        <v>https://x.com/hati325</v>
      </c>
      <c r="D12" s="14">
        <v>44440</v>
      </c>
      <c r="E12" s="40" t="str">
        <f t="shared" ca="1" si="1"/>
        <v>2年9ヵ月</v>
      </c>
      <c r="F12" s="18"/>
      <c r="G12" s="19" t="s">
        <v>101</v>
      </c>
      <c r="H12" s="13" t="str">
        <f t="shared" si="2"/>
        <v>https://scratch.mit.edu/users/l_____Scratch_____l/</v>
      </c>
      <c r="I12" s="21">
        <v>1</v>
      </c>
      <c r="J12" s="13" t="s">
        <v>424</v>
      </c>
      <c r="K12" s="20" t="str">
        <f t="shared" si="9"/>
        <v>2021/08/09</v>
      </c>
      <c r="L12" s="40" t="str">
        <f t="shared" ca="1" si="10"/>
        <v>2年9ヵ月28日</v>
      </c>
      <c r="M12" s="15">
        <v>3</v>
      </c>
      <c r="N12" s="15">
        <v>3800</v>
      </c>
      <c r="O12" s="16">
        <f t="shared" si="3"/>
        <v>7.894736842105263E-4</v>
      </c>
      <c r="P12" s="17">
        <v>188</v>
      </c>
      <c r="Q12" s="22">
        <f t="shared" ca="1" si="4"/>
        <v>5.4651162790697674</v>
      </c>
      <c r="R12" s="38">
        <v>651</v>
      </c>
      <c r="S12" s="22">
        <f t="shared" ca="1" si="5"/>
        <v>18.924418604651162</v>
      </c>
      <c r="T12" s="22">
        <f t="shared" si="6"/>
        <v>3.4627659574468086</v>
      </c>
      <c r="U12" s="17">
        <v>604</v>
      </c>
      <c r="V12" s="22">
        <f t="shared" ca="1" si="7"/>
        <v>17.558139534883722</v>
      </c>
      <c r="W12" s="22">
        <f t="shared" si="8"/>
        <v>3.2127659574468086</v>
      </c>
      <c r="X12" s="13"/>
    </row>
    <row r="13" spans="1:24" x14ac:dyDescent="0.4">
      <c r="A13" s="13" t="s">
        <v>407</v>
      </c>
      <c r="B13" s="13" t="s">
        <v>399</v>
      </c>
      <c r="C13" s="13" t="str">
        <f t="shared" si="0"/>
        <v>https://x.com/hayashi_kusaki</v>
      </c>
      <c r="D13" s="14">
        <v>45292</v>
      </c>
      <c r="E13" s="40" t="str">
        <f t="shared" ca="1" si="1"/>
        <v>0年5ヵ月</v>
      </c>
      <c r="F13" s="18"/>
      <c r="G13" s="19" t="s">
        <v>400</v>
      </c>
      <c r="H13" s="13" t="str">
        <f t="shared" si="2"/>
        <v>https://scratch.mit.edu/users/siratama-aya/</v>
      </c>
      <c r="I13" s="21">
        <v>1</v>
      </c>
      <c r="J13" s="13" t="s">
        <v>424</v>
      </c>
      <c r="K13" s="20" t="str">
        <f t="shared" si="9"/>
        <v>2022/02/04</v>
      </c>
      <c r="L13" s="40" t="str">
        <f t="shared" ca="1" si="10"/>
        <v>2年4ヵ月2日</v>
      </c>
      <c r="M13" s="15">
        <v>25</v>
      </c>
      <c r="N13" s="15">
        <v>1010</v>
      </c>
      <c r="O13" s="16">
        <f t="shared" si="3"/>
        <v>2.4752475247524754E-2</v>
      </c>
      <c r="P13" s="17">
        <v>24</v>
      </c>
      <c r="Q13" s="22">
        <f t="shared" ca="1" si="4"/>
        <v>0.84407971864009379</v>
      </c>
      <c r="R13" s="38">
        <v>810</v>
      </c>
      <c r="S13" s="22">
        <f t="shared" ca="1" si="5"/>
        <v>28.487690504103163</v>
      </c>
      <c r="T13" s="22">
        <f t="shared" si="6"/>
        <v>33.75</v>
      </c>
      <c r="U13" s="17">
        <v>630</v>
      </c>
      <c r="V13" s="22">
        <f t="shared" ca="1" si="7"/>
        <v>22.15709261430246</v>
      </c>
      <c r="W13" s="22">
        <f t="shared" si="8"/>
        <v>26.25</v>
      </c>
      <c r="X13" s="13"/>
    </row>
    <row r="14" spans="1:24" x14ac:dyDescent="0.4">
      <c r="A14" s="13" t="s">
        <v>568</v>
      </c>
      <c r="B14" s="13" t="s">
        <v>569</v>
      </c>
      <c r="C14" s="13" t="str">
        <f t="shared" si="0"/>
        <v>https://x.com/Kannasiinara</v>
      </c>
      <c r="D14" s="14">
        <v>45139</v>
      </c>
      <c r="E14" s="21" t="str">
        <f t="shared" ca="1" si="1"/>
        <v>0年10ヵ月</v>
      </c>
      <c r="F14" s="18"/>
      <c r="G14" s="19" t="s">
        <v>570</v>
      </c>
      <c r="H14" s="13" t="str">
        <f t="shared" si="2"/>
        <v>https://scratch.mit.edu/users/Kyu-ko/</v>
      </c>
      <c r="I14" s="21">
        <v>1</v>
      </c>
      <c r="J14" s="13" t="s">
        <v>424</v>
      </c>
      <c r="K14" s="20" t="str">
        <f t="shared" si="9"/>
        <v>2023/09/02</v>
      </c>
      <c r="L14" s="40" t="str">
        <f t="shared" ca="1" si="10"/>
        <v>0年9ヵ月4日</v>
      </c>
      <c r="M14" s="15">
        <v>118</v>
      </c>
      <c r="N14" s="15">
        <v>116</v>
      </c>
      <c r="O14" s="16">
        <f t="shared" si="3"/>
        <v>1.0172413793103448</v>
      </c>
      <c r="P14" s="17">
        <v>3</v>
      </c>
      <c r="Q14" s="22">
        <f t="shared" ca="1" si="4"/>
        <v>0.32374100719424459</v>
      </c>
      <c r="R14" s="38">
        <v>36</v>
      </c>
      <c r="S14" s="22">
        <f t="shared" ca="1" si="5"/>
        <v>3.8848920863309351</v>
      </c>
      <c r="T14" s="22">
        <f t="shared" si="6"/>
        <v>12</v>
      </c>
      <c r="U14" s="17">
        <v>36</v>
      </c>
      <c r="V14" s="22">
        <f t="shared" ca="1" si="7"/>
        <v>3.8848920863309351</v>
      </c>
      <c r="W14" s="22">
        <f t="shared" si="8"/>
        <v>12</v>
      </c>
      <c r="X14" s="13"/>
    </row>
    <row r="15" spans="1:24" x14ac:dyDescent="0.4">
      <c r="A15" s="13" t="s">
        <v>91</v>
      </c>
      <c r="B15" s="13" t="s">
        <v>441</v>
      </c>
      <c r="C15" s="13" t="str">
        <f t="shared" si="0"/>
        <v>https://x.com/karicalikinoko</v>
      </c>
      <c r="D15" s="14">
        <v>44927</v>
      </c>
      <c r="E15" s="40" t="str">
        <f t="shared" ca="1" si="1"/>
        <v>1年5ヵ月</v>
      </c>
      <c r="F15" s="18" t="s">
        <v>16</v>
      </c>
      <c r="G15" s="19" t="s">
        <v>90</v>
      </c>
      <c r="H15" s="13" t="str">
        <f t="shared" si="2"/>
        <v>https://scratch.mit.edu/users/karikaripilz/</v>
      </c>
      <c r="I15" s="21">
        <v>1</v>
      </c>
      <c r="J15" s="13" t="s">
        <v>424</v>
      </c>
      <c r="K15" s="20" t="str">
        <f t="shared" si="9"/>
        <v>2023/03/18</v>
      </c>
      <c r="L15" s="40" t="str">
        <f t="shared" ca="1" si="10"/>
        <v>1年2ヵ月19日</v>
      </c>
      <c r="M15" s="15">
        <v>760</v>
      </c>
      <c r="N15" s="15">
        <v>447</v>
      </c>
      <c r="O15" s="16">
        <f t="shared" si="3"/>
        <v>1.7002237136465324</v>
      </c>
      <c r="P15" s="17">
        <v>32</v>
      </c>
      <c r="Q15" s="22">
        <f t="shared" ca="1" si="4"/>
        <v>2.1524663677130045</v>
      </c>
      <c r="R15" s="38">
        <v>1100</v>
      </c>
      <c r="S15" s="22">
        <f t="shared" ca="1" si="5"/>
        <v>73.991031390134523</v>
      </c>
      <c r="T15" s="22">
        <f t="shared" si="6"/>
        <v>34.375</v>
      </c>
      <c r="U15" s="17">
        <v>1032</v>
      </c>
      <c r="V15" s="22">
        <f t="shared" ca="1" si="7"/>
        <v>69.417040358744387</v>
      </c>
      <c r="W15" s="22">
        <f t="shared" si="8"/>
        <v>32.25</v>
      </c>
      <c r="X15" s="13"/>
    </row>
    <row r="16" spans="1:24" x14ac:dyDescent="0.4">
      <c r="A16" s="13" t="s">
        <v>89</v>
      </c>
      <c r="B16" s="13" t="s">
        <v>88</v>
      </c>
      <c r="C16" s="13" t="str">
        <f t="shared" si="0"/>
        <v>https://x.com/Karupiyonn</v>
      </c>
      <c r="D16" s="14">
        <v>44866</v>
      </c>
      <c r="E16" s="40" t="str">
        <f t="shared" ca="1" si="1"/>
        <v>1年7ヵ月</v>
      </c>
      <c r="F16" s="18"/>
      <c r="G16" s="19" t="s">
        <v>87</v>
      </c>
      <c r="H16" s="13" t="str">
        <f t="shared" si="2"/>
        <v>https://scratch.mit.edu/users/youmounotanbo/</v>
      </c>
      <c r="I16" s="21">
        <v>1</v>
      </c>
      <c r="J16" s="13" t="s">
        <v>424</v>
      </c>
      <c r="K16" s="20" t="str">
        <f t="shared" si="9"/>
        <v>2023/08/04</v>
      </c>
      <c r="L16" s="40" t="str">
        <f t="shared" ca="1" si="10"/>
        <v>0年10ヵ月2日</v>
      </c>
      <c r="M16" s="15">
        <v>2</v>
      </c>
      <c r="N16" s="15">
        <v>1</v>
      </c>
      <c r="O16" s="16">
        <f t="shared" si="3"/>
        <v>2</v>
      </c>
      <c r="P16" s="17"/>
      <c r="Q16" s="22">
        <f t="shared" ca="1" si="4"/>
        <v>0</v>
      </c>
      <c r="R16" s="38">
        <v>1</v>
      </c>
      <c r="S16" s="22">
        <f t="shared" ca="1" si="5"/>
        <v>9.7719869706840393E-2</v>
      </c>
      <c r="T16" s="22">
        <f t="shared" si="6"/>
        <v>0</v>
      </c>
      <c r="U16" s="17">
        <v>1</v>
      </c>
      <c r="V16" s="22">
        <f t="shared" ca="1" si="7"/>
        <v>9.7719869706840393E-2</v>
      </c>
      <c r="W16" s="22">
        <f t="shared" si="8"/>
        <v>0</v>
      </c>
      <c r="X16" s="13" t="s">
        <v>442</v>
      </c>
    </row>
    <row r="17" spans="1:24" x14ac:dyDescent="0.4">
      <c r="A17" s="13" t="s">
        <v>207</v>
      </c>
      <c r="B17" s="13" t="s">
        <v>208</v>
      </c>
      <c r="C17" s="13" t="str">
        <f t="shared" si="0"/>
        <v>https://x.com/KoTHa_art</v>
      </c>
      <c r="D17" s="14">
        <v>44805</v>
      </c>
      <c r="E17" s="40" t="str">
        <f t="shared" ca="1" si="1"/>
        <v>1年9ヵ月</v>
      </c>
      <c r="F17" s="18"/>
      <c r="G17" s="19" t="s">
        <v>207</v>
      </c>
      <c r="H17" s="13" t="str">
        <f t="shared" si="2"/>
        <v>https://scratch.mit.edu/users/KoTHa_art/</v>
      </c>
      <c r="I17" s="21">
        <v>1</v>
      </c>
      <c r="J17" s="13" t="s">
        <v>424</v>
      </c>
      <c r="K17" s="20" t="str">
        <f t="shared" si="9"/>
        <v>2022/09/15</v>
      </c>
      <c r="L17" s="40" t="str">
        <f t="shared" ca="1" si="10"/>
        <v>1年8ヵ月22日</v>
      </c>
      <c r="M17" s="15">
        <v>380</v>
      </c>
      <c r="N17" s="15">
        <v>616</v>
      </c>
      <c r="O17" s="16">
        <f t="shared" si="3"/>
        <v>0.61688311688311692</v>
      </c>
      <c r="P17" s="17">
        <v>61</v>
      </c>
      <c r="Q17" s="22">
        <f t="shared" ca="1" si="4"/>
        <v>2.9047619047619047</v>
      </c>
      <c r="R17" s="38">
        <v>116</v>
      </c>
      <c r="S17" s="22">
        <f t="shared" ca="1" si="5"/>
        <v>5.5238095238095237</v>
      </c>
      <c r="T17" s="22">
        <f t="shared" si="6"/>
        <v>1.901639344262295</v>
      </c>
      <c r="U17" s="17">
        <v>1</v>
      </c>
      <c r="V17" s="22">
        <f t="shared" ca="1" si="7"/>
        <v>4.7619047619047616E-2</v>
      </c>
      <c r="W17" s="22">
        <f t="shared" si="8"/>
        <v>1.6393442622950821E-2</v>
      </c>
      <c r="X17" s="13"/>
    </row>
    <row r="18" spans="1:24" x14ac:dyDescent="0.4">
      <c r="A18" s="13" t="s">
        <v>209</v>
      </c>
      <c r="B18" s="13" t="s">
        <v>210</v>
      </c>
      <c r="C18" s="13" t="str">
        <f t="shared" si="0"/>
        <v>https://x.com/kpbr_onsen</v>
      </c>
      <c r="D18" s="14">
        <v>44531</v>
      </c>
      <c r="E18" s="40" t="str">
        <f t="shared" ca="1" si="1"/>
        <v>2年6ヵ月</v>
      </c>
      <c r="F18" s="18"/>
      <c r="G18" s="19" t="s">
        <v>310</v>
      </c>
      <c r="H18" s="13" t="str">
        <f t="shared" si="2"/>
        <v>https://scratch.mit.edu/users/oka-yu/</v>
      </c>
      <c r="I18" s="21">
        <v>1</v>
      </c>
      <c r="J18" s="13" t="s">
        <v>424</v>
      </c>
      <c r="K18" s="20" t="str">
        <f t="shared" si="9"/>
        <v>2023/02/21</v>
      </c>
      <c r="L18" s="40" t="str">
        <f t="shared" ca="1" si="10"/>
        <v>1年3ヵ月16日</v>
      </c>
      <c r="M18" s="15">
        <v>6</v>
      </c>
      <c r="N18" s="15">
        <v>49</v>
      </c>
      <c r="O18" s="16">
        <f t="shared" si="3"/>
        <v>0.12244897959183673</v>
      </c>
      <c r="P18" s="17">
        <v>6</v>
      </c>
      <c r="Q18" s="22">
        <f t="shared" ca="1" si="4"/>
        <v>0.38216560509554143</v>
      </c>
      <c r="R18" s="38">
        <v>16</v>
      </c>
      <c r="S18" s="22">
        <f t="shared" ca="1" si="5"/>
        <v>1.0191082802547771</v>
      </c>
      <c r="T18" s="22">
        <f t="shared" si="6"/>
        <v>2.6666666666666665</v>
      </c>
      <c r="U18" s="17">
        <v>3</v>
      </c>
      <c r="V18" s="22">
        <f t="shared" ca="1" si="7"/>
        <v>0.19108280254777071</v>
      </c>
      <c r="W18" s="22">
        <f t="shared" si="8"/>
        <v>0.5</v>
      </c>
      <c r="X18" s="13"/>
    </row>
    <row r="19" spans="1:24" x14ac:dyDescent="0.4">
      <c r="A19" s="13" t="s">
        <v>417</v>
      </c>
      <c r="B19" s="13" t="s">
        <v>412</v>
      </c>
      <c r="C19" s="13" t="str">
        <f t="shared" si="0"/>
        <v>https://x.com/lazulite0721</v>
      </c>
      <c r="D19" s="14">
        <v>45352</v>
      </c>
      <c r="E19" s="40" t="str">
        <f t="shared" ca="1" si="1"/>
        <v>0年3ヵ月</v>
      </c>
      <c r="F19" s="18"/>
      <c r="G19" s="19" t="s">
        <v>411</v>
      </c>
      <c r="H19" s="13" t="str">
        <f t="shared" si="2"/>
        <v>https://scratch.mit.edu/users/hunahunamelonn/</v>
      </c>
      <c r="I19" s="21">
        <v>1</v>
      </c>
      <c r="J19" s="13" t="s">
        <v>424</v>
      </c>
      <c r="K19" s="20" t="str">
        <f t="shared" si="9"/>
        <v>2023/03/06</v>
      </c>
      <c r="L19" s="40" t="str">
        <f t="shared" ca="1" si="10"/>
        <v>1年3ヵ月0日</v>
      </c>
      <c r="M19" s="15">
        <v>36</v>
      </c>
      <c r="N19" s="15">
        <v>194</v>
      </c>
      <c r="O19" s="16">
        <f t="shared" si="3"/>
        <v>0.18556701030927836</v>
      </c>
      <c r="P19" s="17">
        <v>23</v>
      </c>
      <c r="Q19" s="22">
        <f t="shared" ca="1" si="4"/>
        <v>1.5065502183406112</v>
      </c>
      <c r="R19" s="38">
        <v>340</v>
      </c>
      <c r="S19" s="22">
        <f t="shared" ca="1" si="5"/>
        <v>22.2707423580786</v>
      </c>
      <c r="T19" s="22">
        <f t="shared" si="6"/>
        <v>14.782608695652174</v>
      </c>
      <c r="U19" s="17">
        <v>210</v>
      </c>
      <c r="V19" s="22">
        <f t="shared" ca="1" si="7"/>
        <v>13.755458515283841</v>
      </c>
      <c r="W19" s="22">
        <f t="shared" si="8"/>
        <v>9.1304347826086953</v>
      </c>
      <c r="X19" s="13"/>
    </row>
    <row r="20" spans="1:24" x14ac:dyDescent="0.4">
      <c r="A20" s="13" t="s">
        <v>557</v>
      </c>
      <c r="B20" s="13" t="s">
        <v>558</v>
      </c>
      <c r="C20" s="13" t="str">
        <f t="shared" si="0"/>
        <v>https://x.com/Lua_yoghurt_oO</v>
      </c>
      <c r="D20" s="14">
        <v>44986</v>
      </c>
      <c r="E20" s="21" t="str">
        <f t="shared" ca="1" si="1"/>
        <v>1年3ヵ月</v>
      </c>
      <c r="F20" s="18"/>
      <c r="G20" s="19" t="s">
        <v>559</v>
      </c>
      <c r="H20" s="13" t="str">
        <f t="shared" si="2"/>
        <v>https://scratch.mit.edu/users/Mitsuba-38/</v>
      </c>
      <c r="I20" s="21">
        <v>1</v>
      </c>
      <c r="J20" s="13" t="s">
        <v>424</v>
      </c>
      <c r="K20" s="20" t="str">
        <f t="shared" si="9"/>
        <v>2022/07/08</v>
      </c>
      <c r="L20" s="40" t="str">
        <f t="shared" ca="1" si="10"/>
        <v>1年10ヵ月29日</v>
      </c>
      <c r="M20" s="15">
        <v>12</v>
      </c>
      <c r="N20" s="15">
        <v>49</v>
      </c>
      <c r="O20" s="16">
        <f t="shared" si="3"/>
        <v>0.24489795918367346</v>
      </c>
      <c r="P20" s="17">
        <v>17</v>
      </c>
      <c r="Q20" s="22">
        <f t="shared" ca="1" si="4"/>
        <v>0.72961373390557938</v>
      </c>
      <c r="R20" s="38">
        <v>22</v>
      </c>
      <c r="S20" s="22">
        <f t="shared" ca="1" si="5"/>
        <v>0.94420600858369097</v>
      </c>
      <c r="T20" s="22">
        <f t="shared" si="6"/>
        <v>1.2941176470588236</v>
      </c>
      <c r="U20" s="17">
        <v>9</v>
      </c>
      <c r="V20" s="22">
        <f t="shared" ca="1" si="7"/>
        <v>0.38626609442060084</v>
      </c>
      <c r="W20" s="22">
        <f t="shared" si="8"/>
        <v>0.52941176470588236</v>
      </c>
      <c r="X20" s="13"/>
    </row>
    <row r="21" spans="1:24" x14ac:dyDescent="0.4">
      <c r="A21" s="13" t="s">
        <v>548</v>
      </c>
      <c r="B21" s="13" t="s">
        <v>549</v>
      </c>
      <c r="C21" s="13" t="str">
        <f t="shared" si="0"/>
        <v>https://x.com/Lycka7__</v>
      </c>
      <c r="D21" s="14">
        <v>44743</v>
      </c>
      <c r="E21" s="21" t="str">
        <f t="shared" ca="1" si="1"/>
        <v>1年11ヵ月</v>
      </c>
      <c r="F21" s="18"/>
      <c r="G21" s="19" t="s">
        <v>550</v>
      </c>
      <c r="H21" s="13" t="str">
        <f t="shared" si="2"/>
        <v>https://scratch.mit.edu/users/-Lycka-/</v>
      </c>
      <c r="I21" s="21">
        <v>1</v>
      </c>
      <c r="J21" s="13" t="s">
        <v>424</v>
      </c>
      <c r="K21" s="20" t="str">
        <f t="shared" si="9"/>
        <v>2021/05/25</v>
      </c>
      <c r="L21" s="40" t="str">
        <f t="shared" ca="1" si="10"/>
        <v>3年0ヵ月12日</v>
      </c>
      <c r="M21" s="15">
        <v>5</v>
      </c>
      <c r="N21" s="15">
        <v>628</v>
      </c>
      <c r="O21" s="16">
        <f t="shared" si="3"/>
        <v>7.9617834394904458E-3</v>
      </c>
      <c r="P21" s="17">
        <v>15</v>
      </c>
      <c r="Q21" s="22">
        <f t="shared" ca="1" si="4"/>
        <v>0.40613718411552352</v>
      </c>
      <c r="R21" s="38">
        <v>283</v>
      </c>
      <c r="S21" s="22">
        <f t="shared" ca="1" si="5"/>
        <v>7.6624548736462099</v>
      </c>
      <c r="T21" s="22">
        <f t="shared" si="6"/>
        <v>18.866666666666667</v>
      </c>
      <c r="U21" s="17">
        <v>40</v>
      </c>
      <c r="V21" s="22">
        <f t="shared" ca="1" si="7"/>
        <v>1.0830324909747293</v>
      </c>
      <c r="W21" s="22">
        <f t="shared" si="8"/>
        <v>2.6666666666666665</v>
      </c>
      <c r="X21" s="13"/>
    </row>
    <row r="22" spans="1:24" x14ac:dyDescent="0.4">
      <c r="A22" s="13" t="s">
        <v>212</v>
      </c>
      <c r="B22" s="13" t="s">
        <v>213</v>
      </c>
      <c r="C22" s="13" t="str">
        <f t="shared" si="0"/>
        <v>https://x.com/m_B_____R</v>
      </c>
      <c r="D22" s="14">
        <v>45139</v>
      </c>
      <c r="E22" s="40" t="str">
        <f t="shared" ca="1" si="1"/>
        <v>0年10ヵ月</v>
      </c>
      <c r="F22" s="18"/>
      <c r="G22" s="19" t="s">
        <v>312</v>
      </c>
      <c r="H22" s="13" t="str">
        <f t="shared" si="2"/>
        <v>https://scratch.mit.edu/users/cixL-/</v>
      </c>
      <c r="I22" s="21">
        <v>1</v>
      </c>
      <c r="J22" s="13" t="s">
        <v>424</v>
      </c>
      <c r="K22" s="20" t="str">
        <f t="shared" si="9"/>
        <v>2024/01/22</v>
      </c>
      <c r="L22" s="40" t="str">
        <f t="shared" ca="1" si="10"/>
        <v>0年4ヵ月15日</v>
      </c>
      <c r="M22" s="15">
        <v>14</v>
      </c>
      <c r="N22" s="15">
        <v>21</v>
      </c>
      <c r="O22" s="16">
        <f t="shared" si="3"/>
        <v>0.66666666666666663</v>
      </c>
      <c r="P22" s="17">
        <v>2</v>
      </c>
      <c r="Q22" s="22">
        <f t="shared" ca="1" si="4"/>
        <v>0.44117647058823528</v>
      </c>
      <c r="R22" s="38">
        <v>49</v>
      </c>
      <c r="S22" s="22">
        <f t="shared" ca="1" si="5"/>
        <v>10.808823529411764</v>
      </c>
      <c r="T22" s="22">
        <f t="shared" si="6"/>
        <v>24.5</v>
      </c>
      <c r="U22" s="17">
        <v>13</v>
      </c>
      <c r="V22" s="22">
        <f t="shared" ca="1" si="7"/>
        <v>2.8676470588235294</v>
      </c>
      <c r="W22" s="22">
        <f t="shared" si="8"/>
        <v>6.5</v>
      </c>
      <c r="X22" s="13"/>
    </row>
    <row r="23" spans="1:24" x14ac:dyDescent="0.4">
      <c r="A23" s="13" t="s">
        <v>215</v>
      </c>
      <c r="B23" s="13" t="s">
        <v>216</v>
      </c>
      <c r="C23" s="13" t="str">
        <f t="shared" si="0"/>
        <v>https://x.com/manupuri_YOUKYA</v>
      </c>
      <c r="D23" s="14">
        <v>44652</v>
      </c>
      <c r="E23" s="40" t="str">
        <f t="shared" ca="1" si="1"/>
        <v>2年2ヵ月</v>
      </c>
      <c r="F23" s="18"/>
      <c r="G23" s="19" t="s">
        <v>314</v>
      </c>
      <c r="H23" s="13" t="str">
        <f t="shared" si="2"/>
        <v>https://scratch.mit.edu/users/manupuri_moemoe/</v>
      </c>
      <c r="I23" s="21">
        <v>1</v>
      </c>
      <c r="J23" s="13" t="s">
        <v>424</v>
      </c>
      <c r="K23" s="20" t="str">
        <f t="shared" si="9"/>
        <v>2023/06/06</v>
      </c>
      <c r="L23" s="40" t="str">
        <f t="shared" ca="1" si="10"/>
        <v>1年0ヵ月0日</v>
      </c>
      <c r="M23" s="15">
        <v>14</v>
      </c>
      <c r="N23" s="15">
        <v>17</v>
      </c>
      <c r="O23" s="16">
        <f t="shared" si="3"/>
        <v>0.82352941176470584</v>
      </c>
      <c r="P23" s="17">
        <v>4</v>
      </c>
      <c r="Q23" s="22">
        <f t="shared" ca="1" si="4"/>
        <v>0.32786885245901642</v>
      </c>
      <c r="R23" s="38">
        <v>16</v>
      </c>
      <c r="S23" s="22">
        <f t="shared" ca="1" si="5"/>
        <v>1.3114754098360657</v>
      </c>
      <c r="T23" s="22">
        <f t="shared" si="6"/>
        <v>4</v>
      </c>
      <c r="U23" s="17">
        <v>15</v>
      </c>
      <c r="V23" s="22">
        <f t="shared" ca="1" si="7"/>
        <v>1.2295081967213115</v>
      </c>
      <c r="W23" s="22">
        <f t="shared" si="8"/>
        <v>3.75</v>
      </c>
      <c r="X23" s="13"/>
    </row>
    <row r="24" spans="1:24" x14ac:dyDescent="0.4">
      <c r="A24" s="13" t="s">
        <v>224</v>
      </c>
      <c r="B24" s="13" t="s">
        <v>452</v>
      </c>
      <c r="C24" s="13" t="str">
        <f t="shared" si="0"/>
        <v>https://x.com/meyama0901</v>
      </c>
      <c r="D24" s="14">
        <v>44470</v>
      </c>
      <c r="E24" s="40" t="str">
        <f t="shared" ca="1" si="1"/>
        <v>2年8ヵ月</v>
      </c>
      <c r="F24" s="18"/>
      <c r="G24" s="19" t="s">
        <v>318</v>
      </c>
      <c r="H24" s="13" t="str">
        <f t="shared" si="2"/>
        <v>https://scratch.mit.edu/users/medatyan/</v>
      </c>
      <c r="I24" s="21">
        <v>1</v>
      </c>
      <c r="J24" s="13" t="s">
        <v>424</v>
      </c>
      <c r="K24" s="20" t="str">
        <f t="shared" si="9"/>
        <v>2022/11/12</v>
      </c>
      <c r="L24" s="40" t="str">
        <f t="shared" ca="1" si="10"/>
        <v>1年6ヵ月25日</v>
      </c>
      <c r="M24" s="15">
        <v>4</v>
      </c>
      <c r="N24" s="15">
        <v>2256</v>
      </c>
      <c r="O24" s="16">
        <f t="shared" si="3"/>
        <v>1.7730496453900709E-3</v>
      </c>
      <c r="P24" s="17">
        <v>47</v>
      </c>
      <c r="Q24" s="22">
        <f t="shared" ca="1" si="4"/>
        <v>2.465034965034965</v>
      </c>
      <c r="R24" s="38">
        <v>23</v>
      </c>
      <c r="S24" s="22">
        <f t="shared" ca="1" si="5"/>
        <v>1.2062937062937062</v>
      </c>
      <c r="T24" s="22">
        <f t="shared" si="6"/>
        <v>0.48936170212765956</v>
      </c>
      <c r="U24" s="17">
        <v>18</v>
      </c>
      <c r="V24" s="22">
        <f t="shared" ca="1" si="7"/>
        <v>0.94405594405594406</v>
      </c>
      <c r="W24" s="22">
        <f t="shared" si="8"/>
        <v>0.38297872340425532</v>
      </c>
      <c r="X24" s="13"/>
    </row>
    <row r="25" spans="1:24" x14ac:dyDescent="0.4">
      <c r="A25" s="13" t="s">
        <v>560</v>
      </c>
      <c r="B25" s="13" t="s">
        <v>561</v>
      </c>
      <c r="C25" s="13" t="str">
        <f t="shared" si="0"/>
        <v>https://x.com/mit_toka</v>
      </c>
      <c r="D25" s="14">
        <v>45017</v>
      </c>
      <c r="E25" s="21" t="str">
        <f t="shared" ca="1" si="1"/>
        <v>1年2ヵ月</v>
      </c>
      <c r="F25" s="18"/>
      <c r="G25" s="19" t="s">
        <v>562</v>
      </c>
      <c r="H25" s="13" t="str">
        <f t="shared" si="2"/>
        <v>https://scratch.mit.edu/users/_372/</v>
      </c>
      <c r="I25" s="21">
        <v>1</v>
      </c>
      <c r="J25" s="13" t="s">
        <v>424</v>
      </c>
      <c r="K25" s="20" t="str">
        <f t="shared" si="9"/>
        <v>2022/05/21</v>
      </c>
      <c r="L25" s="40" t="str">
        <f t="shared" ca="1" si="10"/>
        <v>2年0ヵ月16日</v>
      </c>
      <c r="M25" s="15">
        <v>113</v>
      </c>
      <c r="N25" s="15">
        <v>202</v>
      </c>
      <c r="O25" s="16">
        <f t="shared" si="3"/>
        <v>0.55940594059405946</v>
      </c>
      <c r="P25" s="17">
        <v>29</v>
      </c>
      <c r="Q25" s="22">
        <f t="shared" ca="1" si="4"/>
        <v>1.1646586345381527</v>
      </c>
      <c r="R25" s="38">
        <v>194</v>
      </c>
      <c r="S25" s="22">
        <f t="shared" ca="1" si="5"/>
        <v>7.7911646586345382</v>
      </c>
      <c r="T25" s="22">
        <f t="shared" si="6"/>
        <v>6.6896551724137927</v>
      </c>
      <c r="U25" s="17">
        <v>4</v>
      </c>
      <c r="V25" s="22">
        <f t="shared" ca="1" si="7"/>
        <v>0.1606425702811245</v>
      </c>
      <c r="W25" s="22">
        <f t="shared" si="8"/>
        <v>0.13793103448275862</v>
      </c>
      <c r="X25" s="13"/>
    </row>
    <row r="26" spans="1:24" x14ac:dyDescent="0.4">
      <c r="A26" s="13" t="s">
        <v>394</v>
      </c>
      <c r="B26" s="13" t="s">
        <v>395</v>
      </c>
      <c r="C26" s="13" t="str">
        <f t="shared" si="0"/>
        <v>https://x.com/mu_ran_ai</v>
      </c>
      <c r="D26" s="14">
        <v>45047</v>
      </c>
      <c r="E26" s="40" t="str">
        <f t="shared" ca="1" si="1"/>
        <v>1年1ヵ月</v>
      </c>
      <c r="F26" s="18"/>
      <c r="G26" s="19" t="s">
        <v>396</v>
      </c>
      <c r="H26" s="13" t="str">
        <f t="shared" si="2"/>
        <v>https://scratch.mit.edu/users/muran-ai/</v>
      </c>
      <c r="I26" s="21">
        <v>1</v>
      </c>
      <c r="J26" s="13" t="s">
        <v>424</v>
      </c>
      <c r="K26" s="20" t="str">
        <f t="shared" si="9"/>
        <v>2022/08/03</v>
      </c>
      <c r="L26" s="40" t="str">
        <f t="shared" ca="1" si="10"/>
        <v>1年10ヵ月3日</v>
      </c>
      <c r="M26" s="15">
        <v>158</v>
      </c>
      <c r="N26" s="15">
        <v>264</v>
      </c>
      <c r="O26" s="16">
        <f t="shared" si="3"/>
        <v>0.59848484848484851</v>
      </c>
      <c r="P26" s="17">
        <v>90</v>
      </c>
      <c r="Q26" s="22">
        <f t="shared" ca="1" si="4"/>
        <v>4.0118870728083209</v>
      </c>
      <c r="R26" s="38">
        <v>556</v>
      </c>
      <c r="S26" s="22">
        <f t="shared" ca="1" si="5"/>
        <v>24.784546805349184</v>
      </c>
      <c r="T26" s="22">
        <f t="shared" si="6"/>
        <v>6.177777777777778</v>
      </c>
      <c r="U26" s="17">
        <v>545</v>
      </c>
      <c r="V26" s="22">
        <f t="shared" ca="1" si="7"/>
        <v>24.294205052005942</v>
      </c>
      <c r="W26" s="22">
        <f t="shared" si="8"/>
        <v>6.0555555555555554</v>
      </c>
      <c r="X26" s="13"/>
    </row>
    <row r="27" spans="1:24" x14ac:dyDescent="0.4">
      <c r="A27" s="13" t="s">
        <v>413</v>
      </c>
      <c r="B27" s="13" t="s">
        <v>414</v>
      </c>
      <c r="C27" s="13" t="str">
        <f t="shared" si="0"/>
        <v>https://x.com/muhuu_712</v>
      </c>
      <c r="D27" s="14">
        <v>45292</v>
      </c>
      <c r="E27" s="40" t="str">
        <f t="shared" ca="1" si="1"/>
        <v>0年5ヵ月</v>
      </c>
      <c r="F27" s="18"/>
      <c r="G27" s="19" t="s">
        <v>415</v>
      </c>
      <c r="H27" s="13" t="str">
        <f t="shared" si="2"/>
        <v>https://scratch.mit.edu/users/muhuu712/</v>
      </c>
      <c r="I27" s="21">
        <v>1</v>
      </c>
      <c r="J27" s="13" t="s">
        <v>424</v>
      </c>
      <c r="K27" s="20" t="str">
        <f t="shared" si="9"/>
        <v>2023/09/28</v>
      </c>
      <c r="L27" s="40" t="str">
        <f t="shared" ca="1" si="10"/>
        <v>0年8ヵ月9日</v>
      </c>
      <c r="M27" s="15">
        <v>57</v>
      </c>
      <c r="N27" s="15">
        <v>347</v>
      </c>
      <c r="O27" s="16">
        <f t="shared" si="3"/>
        <v>0.16426512968299711</v>
      </c>
      <c r="P27" s="17">
        <v>115</v>
      </c>
      <c r="Q27" s="22">
        <f t="shared" ca="1" si="4"/>
        <v>13.69047619047619</v>
      </c>
      <c r="R27" s="38">
        <v>294</v>
      </c>
      <c r="S27" s="22">
        <f t="shared" ca="1" si="5"/>
        <v>35</v>
      </c>
      <c r="T27" s="22">
        <f t="shared" si="6"/>
        <v>2.5565217391304347</v>
      </c>
      <c r="U27" s="17">
        <v>75</v>
      </c>
      <c r="V27" s="22">
        <f t="shared" ca="1" si="7"/>
        <v>8.9285714285714288</v>
      </c>
      <c r="W27" s="22">
        <f t="shared" si="8"/>
        <v>0.65217391304347827</v>
      </c>
      <c r="X27" s="13"/>
    </row>
    <row r="28" spans="1:24" x14ac:dyDescent="0.4">
      <c r="A28" s="13" t="s">
        <v>381</v>
      </c>
      <c r="B28" s="13" t="s">
        <v>371</v>
      </c>
      <c r="C28" s="13" t="str">
        <f t="shared" si="0"/>
        <v>https://x.com/Negimaro031</v>
      </c>
      <c r="D28" s="14">
        <v>45047</v>
      </c>
      <c r="E28" s="40" t="str">
        <f t="shared" ca="1" si="1"/>
        <v>1年1ヵ月</v>
      </c>
      <c r="F28" s="18"/>
      <c r="G28" s="19" t="s">
        <v>372</v>
      </c>
      <c r="H28" s="13" t="str">
        <f t="shared" si="2"/>
        <v>https://scratch.mit.edu/users/negimaro0312/</v>
      </c>
      <c r="I28" s="21">
        <v>1</v>
      </c>
      <c r="J28" s="13" t="s">
        <v>424</v>
      </c>
      <c r="K28" s="20" t="str">
        <f t="shared" si="9"/>
        <v>2023/10/01</v>
      </c>
      <c r="L28" s="40" t="str">
        <f t="shared" ca="1" si="10"/>
        <v>0年8ヵ月5日</v>
      </c>
      <c r="M28" s="15">
        <v>34</v>
      </c>
      <c r="N28" s="15">
        <v>305</v>
      </c>
      <c r="O28" s="16">
        <f t="shared" si="3"/>
        <v>0.11147540983606558</v>
      </c>
      <c r="P28" s="17">
        <v>8</v>
      </c>
      <c r="Q28" s="22">
        <f t="shared" ca="1" si="4"/>
        <v>0.96385542168674687</v>
      </c>
      <c r="R28" s="38">
        <v>68</v>
      </c>
      <c r="S28" s="22">
        <f t="shared" ca="1" si="5"/>
        <v>8.1927710843373482</v>
      </c>
      <c r="T28" s="22">
        <f t="shared" si="6"/>
        <v>8.5</v>
      </c>
      <c r="U28" s="17">
        <v>66</v>
      </c>
      <c r="V28" s="22">
        <f t="shared" ca="1" si="7"/>
        <v>7.9518072289156621</v>
      </c>
      <c r="W28" s="22">
        <f t="shared" si="8"/>
        <v>8.25</v>
      </c>
      <c r="X28" s="13"/>
    </row>
    <row r="29" spans="1:24" x14ac:dyDescent="0.4">
      <c r="A29" s="13" t="s">
        <v>238</v>
      </c>
      <c r="B29" s="13" t="s">
        <v>239</v>
      </c>
      <c r="C29" s="13" t="str">
        <f t="shared" si="0"/>
        <v>https://x.com/nyaatori</v>
      </c>
      <c r="D29" s="14">
        <v>45108</v>
      </c>
      <c r="E29" s="40" t="str">
        <f t="shared" ca="1" si="1"/>
        <v>0年11ヵ月</v>
      </c>
      <c r="F29" s="18"/>
      <c r="G29" s="19" t="s">
        <v>324</v>
      </c>
      <c r="H29" s="13" t="str">
        <f t="shared" si="2"/>
        <v>https://scratch.mit.edu/users/kasutori/</v>
      </c>
      <c r="I29" s="21">
        <v>1</v>
      </c>
      <c r="J29" s="13" t="s">
        <v>424</v>
      </c>
      <c r="K29" s="20" t="str">
        <f t="shared" si="9"/>
        <v>2023/12/26</v>
      </c>
      <c r="L29" s="40" t="str">
        <f t="shared" ca="1" si="10"/>
        <v>0年5ヵ月11日</v>
      </c>
      <c r="M29" s="15">
        <v>19</v>
      </c>
      <c r="N29" s="15">
        <v>55</v>
      </c>
      <c r="O29" s="16">
        <f t="shared" si="3"/>
        <v>0.34545454545454546</v>
      </c>
      <c r="P29" s="17">
        <v>1</v>
      </c>
      <c r="Q29" s="22">
        <f t="shared" ca="1" si="4"/>
        <v>0.18404907975460122</v>
      </c>
      <c r="R29" s="38">
        <v>21</v>
      </c>
      <c r="S29" s="22">
        <f t="shared" ca="1" si="5"/>
        <v>3.8650306748466257</v>
      </c>
      <c r="T29" s="22">
        <f t="shared" si="6"/>
        <v>21</v>
      </c>
      <c r="U29" s="17">
        <v>21</v>
      </c>
      <c r="V29" s="22">
        <f t="shared" ca="1" si="7"/>
        <v>3.8650306748466257</v>
      </c>
      <c r="W29" s="22">
        <f t="shared" si="8"/>
        <v>21</v>
      </c>
      <c r="X29" s="13"/>
    </row>
    <row r="30" spans="1:24" x14ac:dyDescent="0.4">
      <c r="A30" s="13" t="s">
        <v>465</v>
      </c>
      <c r="B30" s="13" t="s">
        <v>466</v>
      </c>
      <c r="C30" s="13" t="str">
        <f t="shared" si="0"/>
        <v>https://x.com/NyancoAnime</v>
      </c>
      <c r="D30" s="14">
        <v>45413</v>
      </c>
      <c r="E30" s="21" t="str">
        <f t="shared" ca="1" si="1"/>
        <v>0年1ヵ月</v>
      </c>
      <c r="F30" s="18"/>
      <c r="G30" s="19" t="s">
        <v>467</v>
      </c>
      <c r="H30" s="13" t="str">
        <f t="shared" si="2"/>
        <v>https://scratch.mit.edu/users/nyanco-guy/</v>
      </c>
      <c r="I30" s="21">
        <v>1</v>
      </c>
      <c r="J30" s="13" t="s">
        <v>424</v>
      </c>
      <c r="K30" s="20" t="str">
        <f t="shared" si="9"/>
        <v>2018/10/27</v>
      </c>
      <c r="L30" s="40" t="str">
        <f t="shared" ca="1" si="10"/>
        <v>5年7ヵ月10日</v>
      </c>
      <c r="M30" s="15">
        <v>248</v>
      </c>
      <c r="N30" s="15">
        <v>11379</v>
      </c>
      <c r="O30" s="16">
        <f t="shared" si="3"/>
        <v>2.1794533790315495E-2</v>
      </c>
      <c r="P30" s="17">
        <v>143</v>
      </c>
      <c r="Q30" s="22">
        <f t="shared" ca="1" si="4"/>
        <v>2.0937042459736457</v>
      </c>
      <c r="R30" s="38">
        <v>7643</v>
      </c>
      <c r="S30" s="22">
        <f t="shared" ca="1" si="5"/>
        <v>111.90336749633968</v>
      </c>
      <c r="T30" s="22">
        <f t="shared" si="6"/>
        <v>53.447552447552447</v>
      </c>
      <c r="U30" s="17">
        <v>5100</v>
      </c>
      <c r="V30" s="22">
        <f t="shared" ca="1" si="7"/>
        <v>74.670571010248906</v>
      </c>
      <c r="W30" s="22">
        <f t="shared" si="8"/>
        <v>35.664335664335667</v>
      </c>
      <c r="X30" s="13"/>
    </row>
    <row r="31" spans="1:24" x14ac:dyDescent="0.4">
      <c r="A31" s="13" t="s">
        <v>60</v>
      </c>
      <c r="B31" s="13" t="s">
        <v>461</v>
      </c>
      <c r="C31" s="13" t="str">
        <f t="shared" si="0"/>
        <v>https://x.com/Paint8Q</v>
      </c>
      <c r="D31" s="14">
        <v>45139</v>
      </c>
      <c r="E31" s="40" t="str">
        <f t="shared" ca="1" si="1"/>
        <v>0年10ヵ月</v>
      </c>
      <c r="F31" s="18"/>
      <c r="G31" s="19" t="s">
        <v>59</v>
      </c>
      <c r="H31" s="13" t="str">
        <f t="shared" si="2"/>
        <v>https://scratch.mit.edu/users/Srain3/</v>
      </c>
      <c r="I31" s="21">
        <v>1</v>
      </c>
      <c r="J31" s="13" t="s">
        <v>424</v>
      </c>
      <c r="K31" s="20" t="str">
        <f t="shared" si="9"/>
        <v>2024/01/11</v>
      </c>
      <c r="L31" s="40" t="str">
        <f t="shared" ca="1" si="10"/>
        <v>0年4ヵ月26日</v>
      </c>
      <c r="M31" s="15">
        <v>22</v>
      </c>
      <c r="N31" s="15">
        <v>138</v>
      </c>
      <c r="O31" s="16">
        <f t="shared" si="3"/>
        <v>0.15942028985507245</v>
      </c>
      <c r="P31" s="17">
        <v>15</v>
      </c>
      <c r="Q31" s="22">
        <f t="shared" ca="1" si="4"/>
        <v>3.0612244897959182</v>
      </c>
      <c r="R31" s="38">
        <v>62</v>
      </c>
      <c r="S31" s="22">
        <f t="shared" ca="1" si="5"/>
        <v>12.653061224489795</v>
      </c>
      <c r="T31" s="22">
        <f t="shared" si="6"/>
        <v>4.1333333333333337</v>
      </c>
      <c r="U31" s="17">
        <v>11</v>
      </c>
      <c r="V31" s="22">
        <f t="shared" ca="1" si="7"/>
        <v>2.2448979591836733</v>
      </c>
      <c r="W31" s="22">
        <f t="shared" si="8"/>
        <v>0.73333333333333328</v>
      </c>
      <c r="X31" s="13"/>
    </row>
    <row r="32" spans="1:24" x14ac:dyDescent="0.4">
      <c r="A32" s="13" t="s">
        <v>249</v>
      </c>
      <c r="B32" s="13" t="s">
        <v>250</v>
      </c>
      <c r="C32" s="13" t="str">
        <f t="shared" si="0"/>
        <v>https://x.com/RKTSCA</v>
      </c>
      <c r="D32" s="14">
        <v>44378</v>
      </c>
      <c r="E32" s="40" t="str">
        <f t="shared" ca="1" si="1"/>
        <v>2年11ヵ月</v>
      </c>
      <c r="F32" s="18"/>
      <c r="G32" s="19" t="s">
        <v>329</v>
      </c>
      <c r="H32" s="13" t="str">
        <f t="shared" si="2"/>
        <v>https://scratch.mit.edu/users/ScarletFX/</v>
      </c>
      <c r="I32" s="21">
        <v>1</v>
      </c>
      <c r="J32" s="13" t="s">
        <v>424</v>
      </c>
      <c r="K32" s="20" t="str">
        <f t="shared" si="9"/>
        <v>2022/03/05</v>
      </c>
      <c r="L32" s="40" t="str">
        <f t="shared" ca="1" si="10"/>
        <v>2年3ヵ月1日</v>
      </c>
      <c r="M32" s="15">
        <v>59</v>
      </c>
      <c r="N32" s="15">
        <v>474</v>
      </c>
      <c r="O32" s="16">
        <f t="shared" si="3"/>
        <v>0.12447257383966245</v>
      </c>
      <c r="P32" s="17">
        <v>15</v>
      </c>
      <c r="Q32" s="22">
        <f t="shared" ca="1" si="4"/>
        <v>0.54611650485436891</v>
      </c>
      <c r="R32" s="38">
        <v>1038</v>
      </c>
      <c r="S32" s="22">
        <f t="shared" ca="1" si="5"/>
        <v>37.791262135922331</v>
      </c>
      <c r="T32" s="22">
        <f t="shared" si="6"/>
        <v>69.2</v>
      </c>
      <c r="U32" s="17">
        <v>969</v>
      </c>
      <c r="V32" s="22">
        <f t="shared" ca="1" si="7"/>
        <v>35.279126213592235</v>
      </c>
      <c r="W32" s="22">
        <f t="shared" si="8"/>
        <v>64.599999999999994</v>
      </c>
      <c r="X32" s="13"/>
    </row>
    <row r="33" spans="1:24" x14ac:dyDescent="0.4">
      <c r="A33" s="13" t="s">
        <v>378</v>
      </c>
      <c r="B33" s="13" t="s">
        <v>356</v>
      </c>
      <c r="C33" s="13" t="str">
        <f t="shared" si="0"/>
        <v>https://x.com/roa_inu</v>
      </c>
      <c r="D33" s="14">
        <v>44682</v>
      </c>
      <c r="E33" s="40" t="str">
        <f t="shared" ca="1" si="1"/>
        <v>2年1ヵ月</v>
      </c>
      <c r="F33" s="18"/>
      <c r="G33" s="19" t="s">
        <v>357</v>
      </c>
      <c r="H33" s="13" t="str">
        <f t="shared" si="2"/>
        <v>https://scratch.mit.edu/users/roainu/</v>
      </c>
      <c r="I33" s="21">
        <v>1</v>
      </c>
      <c r="J33" s="13" t="s">
        <v>424</v>
      </c>
      <c r="K33" s="20" t="str">
        <f t="shared" si="9"/>
        <v>2022/12/09</v>
      </c>
      <c r="L33" s="40" t="str">
        <f t="shared" ca="1" si="10"/>
        <v>1年5ヵ月28日</v>
      </c>
      <c r="M33" s="15">
        <v>70</v>
      </c>
      <c r="N33" s="15">
        <v>2042</v>
      </c>
      <c r="O33" s="16">
        <f t="shared" si="3"/>
        <v>3.4280117531831536E-2</v>
      </c>
      <c r="P33" s="17">
        <v>403</v>
      </c>
      <c r="Q33" s="22">
        <f t="shared" ca="1" si="4"/>
        <v>22.183486238532108</v>
      </c>
      <c r="R33" s="38">
        <v>400</v>
      </c>
      <c r="S33" s="22">
        <f t="shared" ca="1" si="5"/>
        <v>22.01834862385321</v>
      </c>
      <c r="T33" s="22">
        <f t="shared" si="6"/>
        <v>0.99255583126550873</v>
      </c>
      <c r="U33" s="17">
        <v>200</v>
      </c>
      <c r="V33" s="22">
        <f t="shared" ca="1" si="7"/>
        <v>11.009174311926605</v>
      </c>
      <c r="W33" s="22">
        <f t="shared" si="8"/>
        <v>0.49627791563275436</v>
      </c>
      <c r="X33" s="13"/>
    </row>
    <row r="34" spans="1:24" x14ac:dyDescent="0.4">
      <c r="A34" s="13" t="s">
        <v>377</v>
      </c>
      <c r="B34" s="13" t="s">
        <v>354</v>
      </c>
      <c r="C34" s="13" t="str">
        <f t="shared" si="0"/>
        <v>https://x.com/Saltmackerel17</v>
      </c>
      <c r="D34" s="14">
        <v>43770</v>
      </c>
      <c r="E34" s="40" t="str">
        <f t="shared" ca="1" si="1"/>
        <v>4年7ヵ月</v>
      </c>
      <c r="F34" s="18" t="s">
        <v>16</v>
      </c>
      <c r="G34" s="19" t="s">
        <v>355</v>
      </c>
      <c r="H34" s="13" t="str">
        <f t="shared" si="2"/>
        <v>https://scratch.mit.edu/users/PQS2017/</v>
      </c>
      <c r="I34" s="21">
        <v>1</v>
      </c>
      <c r="J34" s="13" t="s">
        <v>424</v>
      </c>
      <c r="K34" s="20" t="str">
        <f t="shared" si="9"/>
        <v>2017/07/03</v>
      </c>
      <c r="L34" s="40" t="str">
        <f t="shared" ca="1" si="10"/>
        <v>6年11ヵ月3日</v>
      </c>
      <c r="M34" s="15">
        <v>974</v>
      </c>
      <c r="N34" s="15">
        <v>3612</v>
      </c>
      <c r="O34" s="16">
        <f t="shared" si="3"/>
        <v>0.26965669988925806</v>
      </c>
      <c r="P34" s="17">
        <v>30</v>
      </c>
      <c r="Q34" s="22">
        <f t="shared" ca="1" si="4"/>
        <v>0.35573122529644269</v>
      </c>
      <c r="R34" s="38">
        <v>566</v>
      </c>
      <c r="S34" s="22">
        <f t="shared" ca="1" si="5"/>
        <v>6.7114624505928857</v>
      </c>
      <c r="T34" s="22">
        <f t="shared" ref="T34:T65" si="11">IFERROR(R34/$P34,0)</f>
        <v>18.866666666666667</v>
      </c>
      <c r="U34" s="17">
        <v>456</v>
      </c>
      <c r="V34" s="22">
        <f t="shared" ca="1" si="7"/>
        <v>5.4071146245059287</v>
      </c>
      <c r="W34" s="22">
        <f t="shared" si="8"/>
        <v>15.2</v>
      </c>
      <c r="X34" s="13"/>
    </row>
    <row r="35" spans="1:24" x14ac:dyDescent="0.4">
      <c r="A35" s="13" t="s">
        <v>375</v>
      </c>
      <c r="B35" s="13" t="s">
        <v>487</v>
      </c>
      <c r="C35" s="13" t="str">
        <f t="shared" si="0"/>
        <v>https://x.com/Shiroann_nu</v>
      </c>
      <c r="D35" s="14">
        <v>45292</v>
      </c>
      <c r="E35" s="40" t="str">
        <f t="shared" ca="1" si="1"/>
        <v>0年5ヵ月</v>
      </c>
      <c r="F35" s="18"/>
      <c r="G35" s="19" t="s">
        <v>370</v>
      </c>
      <c r="H35" s="13" t="str">
        <f t="shared" si="2"/>
        <v>https://scratch.mit.edu/users/Shiroann/</v>
      </c>
      <c r="I35" s="21">
        <v>1</v>
      </c>
      <c r="J35" s="13" t="s">
        <v>424</v>
      </c>
      <c r="K35" s="20" t="str">
        <f t="shared" si="9"/>
        <v>2023/05/10</v>
      </c>
      <c r="L35" s="40" t="str">
        <f t="shared" ca="1" si="10"/>
        <v>1年0ヵ月27日</v>
      </c>
      <c r="M35" s="15">
        <v>29</v>
      </c>
      <c r="N35" s="15">
        <v>292</v>
      </c>
      <c r="O35" s="16">
        <f t="shared" si="3"/>
        <v>9.9315068493150679E-2</v>
      </c>
      <c r="P35" s="17">
        <v>23</v>
      </c>
      <c r="Q35" s="22">
        <f t="shared" ca="1" si="4"/>
        <v>1.7557251908396947</v>
      </c>
      <c r="R35" s="38">
        <v>1557</v>
      </c>
      <c r="S35" s="22">
        <f t="shared" ca="1" si="5"/>
        <v>118.85496183206108</v>
      </c>
      <c r="T35" s="22">
        <f t="shared" si="11"/>
        <v>67.695652173913047</v>
      </c>
      <c r="U35" s="17">
        <v>1493</v>
      </c>
      <c r="V35" s="22">
        <f t="shared" ca="1" si="7"/>
        <v>113.96946564885496</v>
      </c>
      <c r="W35" s="22">
        <f t="shared" si="8"/>
        <v>64.913043478260875</v>
      </c>
      <c r="X35" s="13"/>
    </row>
    <row r="36" spans="1:24" x14ac:dyDescent="0.4">
      <c r="A36" s="13" t="s">
        <v>261</v>
      </c>
      <c r="B36" s="13" t="s">
        <v>262</v>
      </c>
      <c r="C36" s="13" t="str">
        <f t="shared" si="0"/>
        <v>https://x.com/suisei1166</v>
      </c>
      <c r="D36" s="14">
        <v>44986</v>
      </c>
      <c r="E36" s="40" t="str">
        <f t="shared" ca="1" si="1"/>
        <v>1年3ヵ月</v>
      </c>
      <c r="F36" s="18"/>
      <c r="G36" s="19" t="s">
        <v>334</v>
      </c>
      <c r="H36" s="13" t="str">
        <f t="shared" si="2"/>
        <v>https://scratch.mit.edu/users/ShinobuKochou/</v>
      </c>
      <c r="I36" s="21">
        <v>1</v>
      </c>
      <c r="J36" s="13" t="s">
        <v>424</v>
      </c>
      <c r="K36" s="20" t="str">
        <f t="shared" si="9"/>
        <v>2020/05/23</v>
      </c>
      <c r="L36" s="40" t="str">
        <f t="shared" ca="1" si="10"/>
        <v>4年0ヵ月14日</v>
      </c>
      <c r="M36" s="15">
        <v>1824</v>
      </c>
      <c r="N36" s="15">
        <v>2546</v>
      </c>
      <c r="O36" s="16">
        <f t="shared" si="3"/>
        <v>0.71641791044776115</v>
      </c>
      <c r="P36" s="17">
        <v>198</v>
      </c>
      <c r="Q36" s="22">
        <f t="shared" ca="1" si="4"/>
        <v>4.0271186440677971</v>
      </c>
      <c r="R36" s="38">
        <v>2845</v>
      </c>
      <c r="S36" s="22">
        <f t="shared" ca="1" si="5"/>
        <v>57.864406779661017</v>
      </c>
      <c r="T36" s="22">
        <f t="shared" si="11"/>
        <v>14.368686868686869</v>
      </c>
      <c r="U36" s="17">
        <v>2798</v>
      </c>
      <c r="V36" s="22">
        <f t="shared" ca="1" si="7"/>
        <v>56.908474576271189</v>
      </c>
      <c r="W36" s="22">
        <f t="shared" si="8"/>
        <v>14.131313131313131</v>
      </c>
      <c r="X36" s="13"/>
    </row>
    <row r="37" spans="1:24" x14ac:dyDescent="0.4">
      <c r="A37" s="13" t="s">
        <v>563</v>
      </c>
      <c r="B37" s="13" t="s">
        <v>564</v>
      </c>
      <c r="C37" s="13" t="str">
        <f t="shared" si="0"/>
        <v>https://x.com/sz6hxTLrVs67134</v>
      </c>
      <c r="D37" s="14">
        <v>45413</v>
      </c>
      <c r="E37" s="21" t="str">
        <f t="shared" ca="1" si="1"/>
        <v>0年1ヵ月</v>
      </c>
      <c r="F37" s="18"/>
      <c r="G37" s="19" t="s">
        <v>565</v>
      </c>
      <c r="H37" s="13" t="str">
        <f t="shared" si="2"/>
        <v>https://scratch.mit.edu/users/sonononono/</v>
      </c>
      <c r="I37" s="21">
        <v>1</v>
      </c>
      <c r="J37" s="13" t="s">
        <v>424</v>
      </c>
      <c r="K37" s="20" t="str">
        <f t="shared" si="9"/>
        <v>2024/05/22</v>
      </c>
      <c r="L37" s="40" t="str">
        <f t="shared" ca="1" si="10"/>
        <v>0年0ヵ月15日</v>
      </c>
      <c r="M37" s="15">
        <v>3</v>
      </c>
      <c r="N37" s="15">
        <v>141</v>
      </c>
      <c r="O37" s="16">
        <f t="shared" si="3"/>
        <v>2.1276595744680851E-2</v>
      </c>
      <c r="P37" s="17">
        <v>8</v>
      </c>
      <c r="Q37" s="22">
        <f t="shared" ca="1" si="4"/>
        <v>16</v>
      </c>
      <c r="R37" s="38">
        <v>4</v>
      </c>
      <c r="S37" s="22">
        <f t="shared" ca="1" si="5"/>
        <v>8</v>
      </c>
      <c r="T37" s="22">
        <f t="shared" si="11"/>
        <v>0.5</v>
      </c>
      <c r="U37" s="17">
        <v>0</v>
      </c>
      <c r="V37" s="22">
        <f t="shared" ca="1" si="7"/>
        <v>0</v>
      </c>
      <c r="W37" s="22">
        <f t="shared" si="8"/>
        <v>0</v>
      </c>
      <c r="X37" s="13"/>
    </row>
    <row r="38" spans="1:24" x14ac:dyDescent="0.4">
      <c r="A38" s="13" t="s">
        <v>38</v>
      </c>
      <c r="B38" s="13" t="s">
        <v>37</v>
      </c>
      <c r="C38" s="13" t="str">
        <f t="shared" si="0"/>
        <v>https://x.com/tomatomayo_10</v>
      </c>
      <c r="D38" s="14">
        <v>44743</v>
      </c>
      <c r="E38" s="40" t="str">
        <f t="shared" ca="1" si="1"/>
        <v>1年11ヵ月</v>
      </c>
      <c r="F38" s="18"/>
      <c r="G38" s="19" t="s">
        <v>36</v>
      </c>
      <c r="H38" s="13" t="str">
        <f t="shared" si="2"/>
        <v>https://scratch.mit.edu/users/mayo-cocon/</v>
      </c>
      <c r="I38" s="21">
        <v>1</v>
      </c>
      <c r="J38" s="13" t="s">
        <v>424</v>
      </c>
      <c r="K38" s="20" t="str">
        <f t="shared" si="9"/>
        <v>2022/10/16</v>
      </c>
      <c r="L38" s="40" t="str">
        <f t="shared" ca="1" si="10"/>
        <v>1年7ヵ月21日</v>
      </c>
      <c r="M38" s="15">
        <v>158</v>
      </c>
      <c r="N38" s="15">
        <v>7915</v>
      </c>
      <c r="O38" s="16">
        <f t="shared" si="3"/>
        <v>1.9962097283638659E-2</v>
      </c>
      <c r="P38" s="17">
        <v>41</v>
      </c>
      <c r="Q38" s="22">
        <f t="shared" ca="1" si="4"/>
        <v>2.0534223706176964</v>
      </c>
      <c r="R38" s="38">
        <v>445</v>
      </c>
      <c r="S38" s="22">
        <f t="shared" ca="1" si="5"/>
        <v>22.287145242070117</v>
      </c>
      <c r="T38" s="22">
        <f t="shared" si="11"/>
        <v>10.853658536585366</v>
      </c>
      <c r="U38" s="17">
        <v>343</v>
      </c>
      <c r="V38" s="22">
        <f t="shared" ca="1" si="7"/>
        <v>17.178631051752923</v>
      </c>
      <c r="W38" s="22">
        <f t="shared" si="8"/>
        <v>8.3658536585365848</v>
      </c>
      <c r="X38" s="13"/>
    </row>
    <row r="39" spans="1:24" x14ac:dyDescent="0.4">
      <c r="A39" s="13" t="s">
        <v>35</v>
      </c>
      <c r="B39" s="13" t="s">
        <v>34</v>
      </c>
      <c r="C39" s="13" t="str">
        <f t="shared" si="0"/>
        <v>https://x.com/TouTa12341234</v>
      </c>
      <c r="D39" s="14">
        <v>45139</v>
      </c>
      <c r="E39" s="40" t="str">
        <f t="shared" ca="1" si="1"/>
        <v>0年10ヵ月</v>
      </c>
      <c r="F39" s="18"/>
      <c r="G39" s="19" t="s">
        <v>33</v>
      </c>
      <c r="H39" s="13" t="str">
        <f t="shared" si="2"/>
        <v>https://scratch.mit.edu/users/-TouTa-/</v>
      </c>
      <c r="I39" s="21">
        <v>1</v>
      </c>
      <c r="J39" s="13" t="s">
        <v>424</v>
      </c>
      <c r="K39" s="20" t="str">
        <f t="shared" si="9"/>
        <v>2023/06/26</v>
      </c>
      <c r="L39" s="40" t="str">
        <f t="shared" ca="1" si="10"/>
        <v>0年11ヵ月11日</v>
      </c>
      <c r="M39" s="15">
        <v>37</v>
      </c>
      <c r="N39" s="15">
        <v>72</v>
      </c>
      <c r="O39" s="16">
        <f t="shared" si="3"/>
        <v>0.51388888888888884</v>
      </c>
      <c r="P39" s="17">
        <v>3</v>
      </c>
      <c r="Q39" s="22">
        <f t="shared" ca="1" si="4"/>
        <v>0.26011560693641617</v>
      </c>
      <c r="R39" s="38">
        <v>292</v>
      </c>
      <c r="S39" s="22">
        <f t="shared" ca="1" si="5"/>
        <v>25.317919075144509</v>
      </c>
      <c r="T39" s="22">
        <f t="shared" si="11"/>
        <v>97.333333333333329</v>
      </c>
      <c r="U39" s="17">
        <v>274</v>
      </c>
      <c r="V39" s="22">
        <f t="shared" ca="1" si="7"/>
        <v>23.757225433526013</v>
      </c>
      <c r="W39" s="22">
        <f t="shared" si="8"/>
        <v>91.333333333333329</v>
      </c>
      <c r="X39" s="13"/>
    </row>
    <row r="40" spans="1:24" x14ac:dyDescent="0.4">
      <c r="A40" s="13" t="s">
        <v>269</v>
      </c>
      <c r="B40" s="13" t="s">
        <v>270</v>
      </c>
      <c r="C40" s="13" t="str">
        <f t="shared" si="0"/>
        <v>https://x.com/TUNA_521</v>
      </c>
      <c r="D40" s="14">
        <v>44409</v>
      </c>
      <c r="E40" s="40" t="str">
        <f t="shared" ca="1" si="1"/>
        <v>2年10ヵ月</v>
      </c>
      <c r="F40" s="18"/>
      <c r="G40" s="19" t="s">
        <v>337</v>
      </c>
      <c r="H40" s="13" t="str">
        <f t="shared" si="2"/>
        <v>https://scratch.mit.edu/users/TUNAKANN521/</v>
      </c>
      <c r="I40" s="21">
        <v>1</v>
      </c>
      <c r="J40" s="13" t="s">
        <v>424</v>
      </c>
      <c r="K40" s="20" t="str">
        <f t="shared" si="9"/>
        <v>2018/10/21</v>
      </c>
      <c r="L40" s="40" t="str">
        <f t="shared" ca="1" si="10"/>
        <v>5年7ヵ月16日</v>
      </c>
      <c r="M40" s="15">
        <v>134</v>
      </c>
      <c r="N40" s="15">
        <v>711</v>
      </c>
      <c r="O40" s="16">
        <f t="shared" si="3"/>
        <v>0.18846694796061886</v>
      </c>
      <c r="P40" s="17">
        <v>5</v>
      </c>
      <c r="Q40" s="22">
        <f t="shared" ca="1" si="4"/>
        <v>7.2992700729927001E-2</v>
      </c>
      <c r="R40" s="38">
        <v>82</v>
      </c>
      <c r="S40" s="22">
        <f t="shared" ca="1" si="5"/>
        <v>1.197080291970803</v>
      </c>
      <c r="T40" s="22">
        <f t="shared" si="11"/>
        <v>16.399999999999999</v>
      </c>
      <c r="U40" s="17">
        <v>75</v>
      </c>
      <c r="V40" s="22">
        <f t="shared" ca="1" si="7"/>
        <v>1.0948905109489051</v>
      </c>
      <c r="W40" s="22">
        <f t="shared" si="8"/>
        <v>15</v>
      </c>
      <c r="X40" s="13"/>
    </row>
    <row r="41" spans="1:24" x14ac:dyDescent="0.4">
      <c r="A41" s="13" t="s">
        <v>373</v>
      </c>
      <c r="B41" s="13" t="s">
        <v>362</v>
      </c>
      <c r="C41" s="13" t="str">
        <f t="shared" si="0"/>
        <v>https://x.com/U_mokuzu</v>
      </c>
      <c r="D41" s="14">
        <v>44743</v>
      </c>
      <c r="E41" s="40" t="str">
        <f t="shared" ca="1" si="1"/>
        <v>1年11ヵ月</v>
      </c>
      <c r="F41" s="18"/>
      <c r="G41" s="19" t="s">
        <v>363</v>
      </c>
      <c r="H41" s="13" t="str">
        <f t="shared" si="2"/>
        <v>https://scratch.mit.edu/users/ayama/</v>
      </c>
      <c r="I41" s="21">
        <v>1</v>
      </c>
      <c r="J41" s="13" t="s">
        <v>424</v>
      </c>
      <c r="K41" s="20" t="str">
        <f t="shared" si="9"/>
        <v>2016/12/18</v>
      </c>
      <c r="L41" s="40" t="str">
        <f t="shared" ca="1" si="10"/>
        <v>7年5ヵ月19日</v>
      </c>
      <c r="M41" s="15">
        <v>51</v>
      </c>
      <c r="N41" s="15">
        <v>1516</v>
      </c>
      <c r="O41" s="16">
        <f t="shared" si="3"/>
        <v>3.3641160949868076E-2</v>
      </c>
      <c r="P41" s="17">
        <v>31</v>
      </c>
      <c r="Q41" s="22">
        <f t="shared" ca="1" si="4"/>
        <v>0.34103410341034102</v>
      </c>
      <c r="R41" s="38">
        <v>1547</v>
      </c>
      <c r="S41" s="22">
        <f t="shared" ca="1" si="5"/>
        <v>17.018701870187019</v>
      </c>
      <c r="T41" s="22">
        <f t="shared" si="11"/>
        <v>49.903225806451616</v>
      </c>
      <c r="U41" s="17">
        <v>288</v>
      </c>
      <c r="V41" s="22">
        <f t="shared" ca="1" si="7"/>
        <v>3.168316831683168</v>
      </c>
      <c r="W41" s="22">
        <f t="shared" si="8"/>
        <v>9.2903225806451619</v>
      </c>
      <c r="X41" s="13"/>
    </row>
    <row r="42" spans="1:24" x14ac:dyDescent="0.4">
      <c r="A42" s="13" t="s">
        <v>271</v>
      </c>
      <c r="B42" s="13" t="s">
        <v>491</v>
      </c>
      <c r="C42" s="13" t="str">
        <f t="shared" si="0"/>
        <v>https://x.com/umiumishitake</v>
      </c>
      <c r="D42" s="14">
        <v>44197</v>
      </c>
      <c r="E42" s="40" t="str">
        <f t="shared" ca="1" si="1"/>
        <v>3年5ヵ月</v>
      </c>
      <c r="F42" s="18"/>
      <c r="G42" s="19" t="s">
        <v>338</v>
      </c>
      <c r="H42" s="13" t="str">
        <f t="shared" si="2"/>
        <v>https://scratch.mit.edu/users/uminoikimono/</v>
      </c>
      <c r="I42" s="21">
        <v>1</v>
      </c>
      <c r="J42" s="13" t="s">
        <v>424</v>
      </c>
      <c r="K42" s="20" t="str">
        <f t="shared" si="9"/>
        <v>2021/02/27</v>
      </c>
      <c r="L42" s="40" t="str">
        <f t="shared" ca="1" si="10"/>
        <v>3年3ヵ月10日</v>
      </c>
      <c r="M42" s="15">
        <v>983</v>
      </c>
      <c r="N42" s="15">
        <v>1679</v>
      </c>
      <c r="O42" s="16">
        <f t="shared" si="3"/>
        <v>0.58546754020250147</v>
      </c>
      <c r="P42" s="17">
        <v>87</v>
      </c>
      <c r="Q42" s="22">
        <f t="shared" ca="1" si="4"/>
        <v>2.1841004184100417</v>
      </c>
      <c r="R42" s="38">
        <v>523</v>
      </c>
      <c r="S42" s="22">
        <f t="shared" ca="1" si="5"/>
        <v>13.12970711297071</v>
      </c>
      <c r="T42" s="22">
        <f t="shared" si="11"/>
        <v>6.0114942528735629</v>
      </c>
      <c r="U42" s="17">
        <v>402</v>
      </c>
      <c r="V42" s="22">
        <f t="shared" ca="1" si="7"/>
        <v>10.09205020920502</v>
      </c>
      <c r="W42" s="22">
        <f t="shared" si="8"/>
        <v>4.6206896551724137</v>
      </c>
      <c r="X42" s="13"/>
    </row>
    <row r="43" spans="1:24" x14ac:dyDescent="0.4">
      <c r="A43" s="13" t="s">
        <v>27</v>
      </c>
      <c r="B43" s="13" t="s">
        <v>26</v>
      </c>
      <c r="C43" s="13" t="str">
        <f t="shared" si="0"/>
        <v>https://x.com/vallat__</v>
      </c>
      <c r="D43" s="14">
        <v>45017</v>
      </c>
      <c r="E43" s="40" t="str">
        <f t="shared" ca="1" si="1"/>
        <v>1年2ヵ月</v>
      </c>
      <c r="F43" s="18"/>
      <c r="G43" s="19" t="s">
        <v>25</v>
      </c>
      <c r="H43" s="13" t="str">
        <f t="shared" si="2"/>
        <v>https://scratch.mit.edu/users/-vallat-/</v>
      </c>
      <c r="I43" s="21">
        <v>1</v>
      </c>
      <c r="J43" s="13" t="s">
        <v>424</v>
      </c>
      <c r="K43" s="20" t="str">
        <f t="shared" si="9"/>
        <v>2023/03/29</v>
      </c>
      <c r="L43" s="40" t="str">
        <f t="shared" ca="1" si="10"/>
        <v>1年2ヵ月8日</v>
      </c>
      <c r="M43" s="15">
        <v>15</v>
      </c>
      <c r="N43" s="15">
        <v>164</v>
      </c>
      <c r="O43" s="16">
        <f t="shared" si="3"/>
        <v>9.1463414634146339E-2</v>
      </c>
      <c r="P43" s="17">
        <v>1</v>
      </c>
      <c r="Q43" s="22">
        <f t="shared" ca="1" si="4"/>
        <v>6.8965517241379309E-2</v>
      </c>
      <c r="R43" s="38">
        <v>753</v>
      </c>
      <c r="S43" s="22">
        <f t="shared" ca="1" si="5"/>
        <v>51.931034482758619</v>
      </c>
      <c r="T43" s="22">
        <f t="shared" si="11"/>
        <v>753</v>
      </c>
      <c r="U43" s="17">
        <v>275</v>
      </c>
      <c r="V43" s="22">
        <f t="shared" ca="1" si="7"/>
        <v>18.96551724137931</v>
      </c>
      <c r="W43" s="22">
        <f t="shared" si="8"/>
        <v>275</v>
      </c>
      <c r="X43" s="13"/>
    </row>
    <row r="44" spans="1:24" x14ac:dyDescent="0.4">
      <c r="A44" s="13" t="s">
        <v>571</v>
      </c>
      <c r="B44" s="13" t="s">
        <v>572</v>
      </c>
      <c r="C44" s="13" t="str">
        <f t="shared" si="0"/>
        <v>https://x.com/vlqtz75301</v>
      </c>
      <c r="D44" s="14">
        <v>45017</v>
      </c>
      <c r="E44" s="21" t="str">
        <f t="shared" ca="1" si="1"/>
        <v>1年2ヵ月</v>
      </c>
      <c r="F44" s="18"/>
      <c r="G44" s="19" t="s">
        <v>573</v>
      </c>
      <c r="H44" s="13" t="str">
        <f t="shared" si="2"/>
        <v>https://scratch.mit.edu/users/sakuraringorururu/</v>
      </c>
      <c r="I44" s="21">
        <v>1</v>
      </c>
      <c r="J44" s="13" t="s">
        <v>424</v>
      </c>
      <c r="K44" s="20" t="str">
        <f t="shared" si="9"/>
        <v>2024/01/05</v>
      </c>
      <c r="L44" s="40" t="str">
        <f t="shared" ca="1" si="10"/>
        <v>0年5ヵ月1日</v>
      </c>
      <c r="M44" s="15">
        <v>22</v>
      </c>
      <c r="N44" s="15">
        <v>233</v>
      </c>
      <c r="O44" s="16">
        <f t="shared" si="3"/>
        <v>9.4420600858369105E-2</v>
      </c>
      <c r="P44" s="17">
        <v>17</v>
      </c>
      <c r="Q44" s="22">
        <f t="shared" ca="1" si="4"/>
        <v>3.3333333333333335</v>
      </c>
      <c r="R44" s="38">
        <v>258</v>
      </c>
      <c r="S44" s="22">
        <f t="shared" ca="1" si="5"/>
        <v>50.588235294117652</v>
      </c>
      <c r="T44" s="22">
        <f t="shared" si="11"/>
        <v>15.176470588235293</v>
      </c>
      <c r="U44" s="17">
        <v>90</v>
      </c>
      <c r="V44" s="22">
        <f t="shared" ca="1" si="7"/>
        <v>17.647058823529413</v>
      </c>
      <c r="W44" s="22">
        <f t="shared" si="8"/>
        <v>5.2941176470588234</v>
      </c>
      <c r="X44" s="13"/>
    </row>
    <row r="45" spans="1:24" x14ac:dyDescent="0.4">
      <c r="A45" s="13" t="s">
        <v>593</v>
      </c>
      <c r="B45" s="13" t="s">
        <v>594</v>
      </c>
      <c r="C45" s="13" t="str">
        <f t="shared" si="0"/>
        <v>https://x.com/Vv_ReZ_vV</v>
      </c>
      <c r="D45" s="14">
        <v>44652</v>
      </c>
      <c r="E45" s="21" t="str">
        <f t="shared" ca="1" si="1"/>
        <v>2年2ヵ月</v>
      </c>
      <c r="F45" s="18"/>
      <c r="G45" s="19" t="s">
        <v>595</v>
      </c>
      <c r="H45" s="13" t="str">
        <f t="shared" si="2"/>
        <v>https://scratch.mit.edu/users/MU-CHAN1008gbt_773/</v>
      </c>
      <c r="I45" s="21">
        <v>1</v>
      </c>
      <c r="J45" s="13" t="s">
        <v>424</v>
      </c>
      <c r="K45" s="20" t="str">
        <f t="shared" si="9"/>
        <v>2021/11/30</v>
      </c>
      <c r="L45" s="40" t="str">
        <f t="shared" ca="1" si="10"/>
        <v>2年6ヵ月7日</v>
      </c>
      <c r="M45" s="15">
        <v>284</v>
      </c>
      <c r="N45" s="15">
        <v>436</v>
      </c>
      <c r="O45" s="16">
        <f t="shared" si="3"/>
        <v>0.65137614678899081</v>
      </c>
      <c r="P45" s="17">
        <v>281</v>
      </c>
      <c r="Q45" s="22">
        <f t="shared" ca="1" si="4"/>
        <v>9.1730141458106633</v>
      </c>
      <c r="R45" s="38">
        <v>568</v>
      </c>
      <c r="S45" s="22">
        <f t="shared" ca="1" si="5"/>
        <v>18.541893362350383</v>
      </c>
      <c r="T45" s="22">
        <f t="shared" si="11"/>
        <v>2.0213523131672599</v>
      </c>
      <c r="U45" s="17">
        <v>568</v>
      </c>
      <c r="V45" s="22">
        <f t="shared" ca="1" si="7"/>
        <v>18.541893362350383</v>
      </c>
      <c r="W45" s="22">
        <f t="shared" si="8"/>
        <v>2.0213523131672599</v>
      </c>
      <c r="X45" s="13"/>
    </row>
    <row r="46" spans="1:24" x14ac:dyDescent="0.4">
      <c r="A46" s="13" t="s">
        <v>276</v>
      </c>
      <c r="B46" s="13" t="s">
        <v>492</v>
      </c>
      <c r="C46" s="13" t="str">
        <f t="shared" si="0"/>
        <v>https://x.com/x____xuu__</v>
      </c>
      <c r="D46" s="14">
        <v>44896</v>
      </c>
      <c r="E46" s="40" t="str">
        <f t="shared" ca="1" si="1"/>
        <v>1年6ヵ月</v>
      </c>
      <c r="F46" s="18"/>
      <c r="G46" s="19" t="s">
        <v>341</v>
      </c>
      <c r="H46" s="13" t="str">
        <f t="shared" si="2"/>
        <v>https://scratch.mit.edu/users/ikuradonburi/</v>
      </c>
      <c r="I46" s="21">
        <v>1</v>
      </c>
      <c r="J46" s="13" t="s">
        <v>424</v>
      </c>
      <c r="K46" s="20" t="str">
        <f t="shared" si="9"/>
        <v>2022/02/27</v>
      </c>
      <c r="L46" s="40" t="str">
        <f t="shared" ca="1" si="10"/>
        <v>2年3ヵ月10日</v>
      </c>
      <c r="M46" s="15">
        <v>73</v>
      </c>
      <c r="N46" s="15">
        <v>1337</v>
      </c>
      <c r="O46" s="16">
        <f t="shared" si="3"/>
        <v>5.4599850411368736E-2</v>
      </c>
      <c r="P46" s="17">
        <v>87</v>
      </c>
      <c r="Q46" s="22">
        <f t="shared" ca="1" si="4"/>
        <v>3.1445783132530121</v>
      </c>
      <c r="R46" s="38">
        <v>2189</v>
      </c>
      <c r="S46" s="22">
        <f t="shared" ca="1" si="5"/>
        <v>79.120481927710841</v>
      </c>
      <c r="T46" s="22">
        <f t="shared" si="11"/>
        <v>25.160919540229884</v>
      </c>
      <c r="U46" s="17">
        <v>2052</v>
      </c>
      <c r="V46" s="22">
        <f t="shared" ca="1" si="7"/>
        <v>74.168674698795172</v>
      </c>
      <c r="W46" s="22">
        <f t="shared" si="8"/>
        <v>23.586206896551722</v>
      </c>
      <c r="X46" s="13"/>
    </row>
    <row r="47" spans="1:24" x14ac:dyDescent="0.4">
      <c r="A47" s="13" t="s">
        <v>279</v>
      </c>
      <c r="B47" s="13" t="s">
        <v>280</v>
      </c>
      <c r="C47" s="13" t="str">
        <f t="shared" si="0"/>
        <v>https://x.com/zelveria</v>
      </c>
      <c r="D47" s="14">
        <v>45078</v>
      </c>
      <c r="E47" s="40" t="str">
        <f t="shared" ca="1" si="1"/>
        <v>1年0ヵ月</v>
      </c>
      <c r="F47" s="18"/>
      <c r="G47" s="19" t="s">
        <v>280</v>
      </c>
      <c r="H47" s="13" t="str">
        <f t="shared" si="2"/>
        <v>https://scratch.mit.edu/users/Zelria/</v>
      </c>
      <c r="I47" s="21">
        <v>1</v>
      </c>
      <c r="J47" s="13" t="s">
        <v>424</v>
      </c>
      <c r="K47" s="20" t="str">
        <f t="shared" si="9"/>
        <v>2022/08/08</v>
      </c>
      <c r="L47" s="40" t="str">
        <f t="shared" ca="1" si="10"/>
        <v>1年9ヵ月29日</v>
      </c>
      <c r="M47" s="15">
        <v>22</v>
      </c>
      <c r="N47" s="15">
        <v>180</v>
      </c>
      <c r="O47" s="16">
        <f t="shared" si="3"/>
        <v>0.12222222222222222</v>
      </c>
      <c r="P47" s="17">
        <v>15</v>
      </c>
      <c r="Q47" s="22">
        <f t="shared" ca="1" si="4"/>
        <v>0.67365269461077848</v>
      </c>
      <c r="R47" s="38">
        <v>402</v>
      </c>
      <c r="S47" s="22">
        <f t="shared" ca="1" si="5"/>
        <v>18.053892215568862</v>
      </c>
      <c r="T47" s="22">
        <f t="shared" si="11"/>
        <v>26.8</v>
      </c>
      <c r="U47" s="17">
        <v>258</v>
      </c>
      <c r="V47" s="22">
        <f t="shared" ca="1" si="7"/>
        <v>11.58682634730539</v>
      </c>
      <c r="W47" s="22">
        <f t="shared" si="8"/>
        <v>17.2</v>
      </c>
      <c r="X47" s="13"/>
    </row>
    <row r="48" spans="1:24" x14ac:dyDescent="0.4">
      <c r="A48" s="13" t="s">
        <v>154</v>
      </c>
      <c r="B48" s="13" t="s">
        <v>155</v>
      </c>
      <c r="C48" s="13" t="str">
        <f t="shared" si="0"/>
        <v>https://x.com/_Pon12345_</v>
      </c>
      <c r="D48" s="14">
        <v>44621</v>
      </c>
      <c r="E48" s="40" t="str">
        <f t="shared" ca="1" si="1"/>
        <v>2年3ヵ月</v>
      </c>
      <c r="F48" s="18"/>
      <c r="G48" s="19" t="s">
        <v>283</v>
      </c>
      <c r="H48" s="13" t="str">
        <f t="shared" si="2"/>
        <v>https://scratch.mit.edu/users/Pon0228/</v>
      </c>
      <c r="I48" s="21">
        <v>2</v>
      </c>
      <c r="J48" s="13" t="s">
        <v>427</v>
      </c>
      <c r="K48" s="20" t="str">
        <f t="shared" si="9"/>
        <v>2018/08/26</v>
      </c>
      <c r="L48" s="40" t="str">
        <f t="shared" ca="1" si="10"/>
        <v>5年9ヵ月11日</v>
      </c>
      <c r="M48" s="15">
        <v>96</v>
      </c>
      <c r="N48" s="15">
        <v>1157</v>
      </c>
      <c r="O48" s="16">
        <f t="shared" si="3"/>
        <v>8.2973206568712182E-2</v>
      </c>
      <c r="P48" s="17">
        <v>24</v>
      </c>
      <c r="Q48" s="22">
        <f t="shared" ca="1" si="4"/>
        <v>0.34107058266224544</v>
      </c>
      <c r="R48" s="38">
        <v>299</v>
      </c>
      <c r="S48" s="22">
        <f t="shared" ca="1" si="5"/>
        <v>4.2491710090004737</v>
      </c>
      <c r="T48" s="22">
        <f t="shared" si="11"/>
        <v>12.458333333333334</v>
      </c>
      <c r="U48" s="17">
        <v>294</v>
      </c>
      <c r="V48" s="22">
        <f t="shared" ca="1" si="7"/>
        <v>4.1781146376125067</v>
      </c>
      <c r="W48" s="22">
        <f t="shared" si="8"/>
        <v>12.25</v>
      </c>
      <c r="X48" s="13"/>
    </row>
    <row r="49" spans="1:24" x14ac:dyDescent="0.4">
      <c r="A49" s="13" t="s">
        <v>156</v>
      </c>
      <c r="B49" s="13" t="s">
        <v>157</v>
      </c>
      <c r="C49" s="13" t="str">
        <f t="shared" si="0"/>
        <v>https://x.com/114423_it</v>
      </c>
      <c r="D49" s="14">
        <v>44743</v>
      </c>
      <c r="E49" s="40" t="str">
        <f t="shared" ca="1" si="1"/>
        <v>1年11ヵ月</v>
      </c>
      <c r="F49" s="18"/>
      <c r="G49" s="19" t="s">
        <v>284</v>
      </c>
      <c r="H49" s="13" t="str">
        <f t="shared" si="2"/>
        <v>https://scratch.mit.edu/users/114423/</v>
      </c>
      <c r="I49" s="21">
        <v>2</v>
      </c>
      <c r="J49" s="13" t="s">
        <v>427</v>
      </c>
      <c r="K49" s="20" t="str">
        <f t="shared" si="9"/>
        <v>2018/11/24</v>
      </c>
      <c r="L49" s="40" t="str">
        <f t="shared" ca="1" si="10"/>
        <v>5年6ヵ月13日</v>
      </c>
      <c r="M49" s="15">
        <v>1420</v>
      </c>
      <c r="N49" s="15">
        <v>2329</v>
      </c>
      <c r="O49" s="16">
        <f t="shared" si="3"/>
        <v>0.60970373550880208</v>
      </c>
      <c r="P49" s="17">
        <v>345</v>
      </c>
      <c r="Q49" s="22">
        <f t="shared" ca="1" si="4"/>
        <v>5.1212271152894608</v>
      </c>
      <c r="R49" s="38">
        <v>1893</v>
      </c>
      <c r="S49" s="22">
        <f t="shared" ca="1" si="5"/>
        <v>28.099950519544784</v>
      </c>
      <c r="T49" s="22">
        <f t="shared" si="11"/>
        <v>5.4869565217391303</v>
      </c>
      <c r="U49" s="17">
        <v>1890</v>
      </c>
      <c r="V49" s="22">
        <f t="shared" ca="1" si="7"/>
        <v>28.055418109846613</v>
      </c>
      <c r="W49" s="22">
        <f t="shared" si="8"/>
        <v>5.4782608695652177</v>
      </c>
      <c r="X49" s="13"/>
    </row>
    <row r="50" spans="1:24" x14ac:dyDescent="0.4">
      <c r="A50" s="13" t="s">
        <v>444</v>
      </c>
      <c r="B50" s="13" t="s">
        <v>445</v>
      </c>
      <c r="C50" s="13" t="str">
        <f t="shared" si="0"/>
        <v>https://x.com/andmanju_</v>
      </c>
      <c r="D50" s="14">
        <v>45323</v>
      </c>
      <c r="E50" s="21" t="str">
        <f t="shared" ca="1" si="1"/>
        <v>0年4ヵ月</v>
      </c>
      <c r="F50" s="18"/>
      <c r="G50" s="19" t="s">
        <v>446</v>
      </c>
      <c r="H50" s="13" t="str">
        <f t="shared" si="2"/>
        <v>https://scratch.mit.edu/users/andmanju/</v>
      </c>
      <c r="I50" s="21">
        <v>2</v>
      </c>
      <c r="J50" s="13" t="s">
        <v>427</v>
      </c>
      <c r="K50" s="20" t="str">
        <f t="shared" si="9"/>
        <v>2018/10/18</v>
      </c>
      <c r="L50" s="40" t="str">
        <f t="shared" ca="1" si="10"/>
        <v>5年7ヵ月19日</v>
      </c>
      <c r="M50" s="15">
        <v>63</v>
      </c>
      <c r="N50" s="15">
        <v>2913</v>
      </c>
      <c r="O50" s="16">
        <f t="shared" si="3"/>
        <v>2.1627188465499485E-2</v>
      </c>
      <c r="P50" s="17">
        <v>86</v>
      </c>
      <c r="Q50" s="22">
        <f t="shared" ca="1" si="4"/>
        <v>1.2536443148688048</v>
      </c>
      <c r="R50" s="38">
        <v>3182</v>
      </c>
      <c r="S50" s="22">
        <f t="shared" ca="1" si="5"/>
        <v>46.384839650145778</v>
      </c>
      <c r="T50" s="22">
        <f t="shared" si="11"/>
        <v>37</v>
      </c>
      <c r="U50" s="17">
        <v>3180</v>
      </c>
      <c r="V50" s="22">
        <f t="shared" ca="1" si="7"/>
        <v>46.355685131195337</v>
      </c>
      <c r="W50" s="22">
        <f t="shared" si="8"/>
        <v>36.97674418604651</v>
      </c>
      <c r="X50" s="13"/>
    </row>
    <row r="51" spans="1:24" x14ac:dyDescent="0.4">
      <c r="A51" s="13" t="s">
        <v>171</v>
      </c>
      <c r="B51" s="13" t="s">
        <v>172</v>
      </c>
      <c r="C51" s="13" t="str">
        <f t="shared" si="0"/>
        <v>https://x.com/donakou_scrt</v>
      </c>
      <c r="D51" s="14">
        <v>44013</v>
      </c>
      <c r="E51" s="40" t="str">
        <f t="shared" ca="1" si="1"/>
        <v>3年11ヵ月</v>
      </c>
      <c r="F51" s="18"/>
      <c r="G51" s="19" t="s">
        <v>172</v>
      </c>
      <c r="H51" s="13" t="str">
        <f t="shared" si="2"/>
        <v>https://scratch.mit.edu/users/donakou/</v>
      </c>
      <c r="I51" s="21">
        <v>2</v>
      </c>
      <c r="J51" s="13" t="s">
        <v>427</v>
      </c>
      <c r="K51" s="20" t="str">
        <f t="shared" si="9"/>
        <v>2017/08/22</v>
      </c>
      <c r="L51" s="40" t="str">
        <f t="shared" ca="1" si="10"/>
        <v>6年9ヵ月15日</v>
      </c>
      <c r="M51" s="15">
        <v>944</v>
      </c>
      <c r="N51" s="15">
        <v>892</v>
      </c>
      <c r="O51" s="16">
        <f t="shared" si="3"/>
        <v>1.0582959641255605</v>
      </c>
      <c r="P51" s="17">
        <v>29</v>
      </c>
      <c r="Q51" s="22">
        <f t="shared" ca="1" si="4"/>
        <v>0.35080645161290319</v>
      </c>
      <c r="R51" s="38">
        <v>179</v>
      </c>
      <c r="S51" s="22">
        <f t="shared" ca="1" si="5"/>
        <v>2.165322580645161</v>
      </c>
      <c r="T51" s="22">
        <f t="shared" si="11"/>
        <v>6.1724137931034484</v>
      </c>
      <c r="U51" s="17">
        <v>254</v>
      </c>
      <c r="V51" s="22">
        <f t="shared" ca="1" si="7"/>
        <v>3.07258064516129</v>
      </c>
      <c r="W51" s="22">
        <f t="shared" si="8"/>
        <v>8.7586206896551726</v>
      </c>
      <c r="X51" s="13"/>
    </row>
    <row r="52" spans="1:24" x14ac:dyDescent="0.4">
      <c r="A52" s="13" t="s">
        <v>177</v>
      </c>
      <c r="B52" s="13" t="s">
        <v>149</v>
      </c>
      <c r="C52" s="13" t="str">
        <f t="shared" si="0"/>
        <v>https://x.com/Dotoe_chan</v>
      </c>
      <c r="D52" s="14">
        <v>44075</v>
      </c>
      <c r="E52" s="40" t="str">
        <f t="shared" ca="1" si="1"/>
        <v>3年9ヵ月</v>
      </c>
      <c r="F52" s="18"/>
      <c r="G52" s="19" t="s">
        <v>149</v>
      </c>
      <c r="H52" s="13" t="str">
        <f t="shared" si="2"/>
        <v>https://scratch.mit.edu/users/Dotoe/</v>
      </c>
      <c r="I52" s="21">
        <v>2</v>
      </c>
      <c r="J52" s="13" t="s">
        <v>427</v>
      </c>
      <c r="K52" s="20" t="str">
        <f t="shared" si="9"/>
        <v>2020/07/23</v>
      </c>
      <c r="L52" s="40" t="str">
        <f t="shared" ca="1" si="10"/>
        <v>3年10ヵ月14日</v>
      </c>
      <c r="M52" s="15">
        <v>5</v>
      </c>
      <c r="N52" s="15">
        <v>626</v>
      </c>
      <c r="O52" s="16">
        <f t="shared" si="3"/>
        <v>7.9872204472843447E-3</v>
      </c>
      <c r="P52" s="17">
        <v>17</v>
      </c>
      <c r="Q52" s="22">
        <f t="shared" ca="1" si="4"/>
        <v>0.3606789250353607</v>
      </c>
      <c r="R52" s="38">
        <v>95</v>
      </c>
      <c r="S52" s="22">
        <f t="shared" ca="1" si="5"/>
        <v>2.0155586987270158</v>
      </c>
      <c r="T52" s="22">
        <f t="shared" si="11"/>
        <v>5.5882352941176467</v>
      </c>
      <c r="U52" s="17">
        <v>61</v>
      </c>
      <c r="V52" s="22">
        <f t="shared" ca="1" si="7"/>
        <v>1.2942008486562941</v>
      </c>
      <c r="W52" s="22">
        <f t="shared" si="8"/>
        <v>3.5882352941176472</v>
      </c>
      <c r="X52" s="13"/>
    </row>
    <row r="53" spans="1:24" x14ac:dyDescent="0.4">
      <c r="A53" s="13" t="s">
        <v>534</v>
      </c>
      <c r="B53" s="13" t="s">
        <v>535</v>
      </c>
      <c r="C53" s="13" t="str">
        <f t="shared" si="0"/>
        <v>https://x.com/kashiwaa_</v>
      </c>
      <c r="D53" s="14">
        <v>45323</v>
      </c>
      <c r="E53" s="21" t="str">
        <f t="shared" ca="1" si="1"/>
        <v>0年4ヵ月</v>
      </c>
      <c r="F53" s="18"/>
      <c r="G53" s="19" t="s">
        <v>536</v>
      </c>
      <c r="H53" s="13" t="str">
        <f t="shared" si="2"/>
        <v>https://scratch.mit.edu/users/-_kashiwa_-/</v>
      </c>
      <c r="I53" s="21">
        <v>2</v>
      </c>
      <c r="J53" s="13" t="s">
        <v>427</v>
      </c>
      <c r="K53" s="20" t="str">
        <f t="shared" si="9"/>
        <v>2023/10/25</v>
      </c>
      <c r="L53" s="40" t="str">
        <f t="shared" ca="1" si="10"/>
        <v>0年7ヵ月12日</v>
      </c>
      <c r="M53" s="15">
        <v>12</v>
      </c>
      <c r="N53" s="15">
        <v>1564</v>
      </c>
      <c r="O53" s="16">
        <f t="shared" si="3"/>
        <v>7.6726342710997444E-3</v>
      </c>
      <c r="P53" s="17">
        <v>14</v>
      </c>
      <c r="Q53" s="22">
        <f t="shared" ca="1" si="4"/>
        <v>1.8666666666666667</v>
      </c>
      <c r="R53" s="38">
        <v>290</v>
      </c>
      <c r="S53" s="22">
        <f t="shared" ca="1" si="5"/>
        <v>38.666666666666664</v>
      </c>
      <c r="T53" s="22">
        <f t="shared" si="11"/>
        <v>20.714285714285715</v>
      </c>
      <c r="U53" s="17">
        <v>2</v>
      </c>
      <c r="V53" s="22">
        <f t="shared" ca="1" si="7"/>
        <v>0.26666666666666666</v>
      </c>
      <c r="W53" s="22">
        <f t="shared" si="8"/>
        <v>0.14285714285714285</v>
      </c>
      <c r="X53" s="13"/>
    </row>
    <row r="54" spans="1:24" x14ac:dyDescent="0.4">
      <c r="A54" s="13" t="s">
        <v>202</v>
      </c>
      <c r="B54" s="13" t="s">
        <v>203</v>
      </c>
      <c r="C54" s="13" t="str">
        <f t="shared" si="0"/>
        <v>https://x.com/katsuo_scratch_</v>
      </c>
      <c r="D54" s="14">
        <v>44896</v>
      </c>
      <c r="E54" s="40" t="str">
        <f t="shared" ca="1" si="1"/>
        <v>1年6ヵ月</v>
      </c>
      <c r="F54" s="18"/>
      <c r="G54" s="19" t="s">
        <v>308</v>
      </c>
      <c r="H54" s="13" t="str">
        <f t="shared" si="2"/>
        <v>https://scratch.mit.edu/users/katsuo777/</v>
      </c>
      <c r="I54" s="21">
        <v>2</v>
      </c>
      <c r="J54" s="13" t="s">
        <v>427</v>
      </c>
      <c r="K54" s="20" t="str">
        <f t="shared" si="9"/>
        <v>2021/07/05</v>
      </c>
      <c r="L54" s="40" t="str">
        <f t="shared" ca="1" si="10"/>
        <v>2年11ヵ月1日</v>
      </c>
      <c r="M54" s="15">
        <v>136</v>
      </c>
      <c r="N54" s="15">
        <v>2211</v>
      </c>
      <c r="O54" s="16">
        <f t="shared" si="3"/>
        <v>6.1510628674807777E-2</v>
      </c>
      <c r="P54" s="17">
        <v>29</v>
      </c>
      <c r="Q54" s="22">
        <f t="shared" ca="1" si="4"/>
        <v>0.81537019681349565</v>
      </c>
      <c r="R54" s="38">
        <v>273</v>
      </c>
      <c r="S54" s="22">
        <f t="shared" ca="1" si="5"/>
        <v>7.6757263355201495</v>
      </c>
      <c r="T54" s="22">
        <f t="shared" si="11"/>
        <v>9.4137931034482758</v>
      </c>
      <c r="U54" s="17">
        <v>177</v>
      </c>
      <c r="V54" s="22">
        <f t="shared" ca="1" si="7"/>
        <v>4.9765698219306458</v>
      </c>
      <c r="W54" s="22">
        <f t="shared" si="8"/>
        <v>6.1034482758620694</v>
      </c>
      <c r="X54" s="13"/>
    </row>
    <row r="55" spans="1:24" x14ac:dyDescent="0.4">
      <c r="A55" s="13" t="s">
        <v>236</v>
      </c>
      <c r="B55" s="13" t="s">
        <v>237</v>
      </c>
      <c r="C55" s="13" t="str">
        <f t="shared" si="0"/>
        <v>https://x.com/nimda</v>
      </c>
      <c r="D55" s="14">
        <v>39173</v>
      </c>
      <c r="E55" s="40" t="str">
        <f t="shared" ca="1" si="1"/>
        <v>17年2ヵ月</v>
      </c>
      <c r="F55" s="18"/>
      <c r="G55" s="19" t="s">
        <v>323</v>
      </c>
      <c r="H55" s="13" t="str">
        <f t="shared" si="2"/>
        <v>https://scratch.mit.edu/users/pandakun/</v>
      </c>
      <c r="I55" s="21">
        <v>2</v>
      </c>
      <c r="J55" s="13" t="s">
        <v>427</v>
      </c>
      <c r="K55" s="20" t="str">
        <f t="shared" si="9"/>
        <v>2016/04/26</v>
      </c>
      <c r="L55" s="40" t="str">
        <f t="shared" ca="1" si="10"/>
        <v>8年1ヵ月11日</v>
      </c>
      <c r="M55" s="15">
        <v>2147</v>
      </c>
      <c r="N55" s="15">
        <v>17778</v>
      </c>
      <c r="O55" s="16">
        <f t="shared" si="3"/>
        <v>0.12076724040949488</v>
      </c>
      <c r="P55" s="17">
        <v>67</v>
      </c>
      <c r="Q55" s="22">
        <f t="shared" ca="1" si="4"/>
        <v>0.67836652041849477</v>
      </c>
      <c r="R55" s="38">
        <v>349</v>
      </c>
      <c r="S55" s="22">
        <f t="shared" ca="1" si="5"/>
        <v>3.5335808302396221</v>
      </c>
      <c r="T55" s="22">
        <f t="shared" si="11"/>
        <v>5.2089552238805972</v>
      </c>
      <c r="U55" s="17">
        <v>332</v>
      </c>
      <c r="V55" s="22">
        <f t="shared" ca="1" si="7"/>
        <v>3.3614579817752279</v>
      </c>
      <c r="W55" s="22">
        <f t="shared" si="8"/>
        <v>4.955223880597015</v>
      </c>
      <c r="X55" s="13"/>
    </row>
    <row r="56" spans="1:24" x14ac:dyDescent="0.4">
      <c r="A56" s="13" t="s">
        <v>54</v>
      </c>
      <c r="B56" s="13" t="s">
        <v>55</v>
      </c>
      <c r="C56" s="13" t="str">
        <f t="shared" si="0"/>
        <v>https://x.com/Poteto143</v>
      </c>
      <c r="D56" s="14">
        <v>42979</v>
      </c>
      <c r="E56" s="40" t="str">
        <f t="shared" ca="1" si="1"/>
        <v>6年9ヵ月</v>
      </c>
      <c r="F56" s="18" t="s">
        <v>16</v>
      </c>
      <c r="G56" s="19" t="s">
        <v>54</v>
      </c>
      <c r="H56" s="13" t="str">
        <f t="shared" si="2"/>
        <v>https://scratch.mit.edu/users/Poteto143/</v>
      </c>
      <c r="I56" s="21">
        <v>2</v>
      </c>
      <c r="J56" s="13" t="s">
        <v>427</v>
      </c>
      <c r="K56" s="20" t="str">
        <f t="shared" si="9"/>
        <v>2017/06/22</v>
      </c>
      <c r="L56" s="40" t="str">
        <f t="shared" ca="1" si="10"/>
        <v>6年11ヵ月15日</v>
      </c>
      <c r="M56" s="15">
        <v>803</v>
      </c>
      <c r="N56" s="15">
        <v>5153</v>
      </c>
      <c r="O56" s="16">
        <f t="shared" si="3"/>
        <v>0.1558315544343101</v>
      </c>
      <c r="P56" s="17">
        <v>59</v>
      </c>
      <c r="Q56" s="22">
        <f t="shared" ca="1" si="4"/>
        <v>0.69657615112160565</v>
      </c>
      <c r="R56" s="38">
        <v>528</v>
      </c>
      <c r="S56" s="22">
        <f t="shared" ca="1" si="5"/>
        <v>6.2337662337662332</v>
      </c>
      <c r="T56" s="22">
        <f t="shared" si="11"/>
        <v>8.9491525423728806</v>
      </c>
      <c r="U56" s="17">
        <v>433</v>
      </c>
      <c r="V56" s="22">
        <f t="shared" ca="1" si="7"/>
        <v>5.112160566706021</v>
      </c>
      <c r="W56" s="22">
        <f t="shared" si="8"/>
        <v>7.3389830508474576</v>
      </c>
      <c r="X56" s="13"/>
    </row>
    <row r="57" spans="1:24" x14ac:dyDescent="0.4">
      <c r="A57" s="13" t="s">
        <v>512</v>
      </c>
      <c r="B57" s="13" t="s">
        <v>513</v>
      </c>
      <c r="C57" s="13" t="str">
        <f t="shared" si="0"/>
        <v>https://x.com/Remu_tv</v>
      </c>
      <c r="D57" s="14">
        <v>45139</v>
      </c>
      <c r="E57" s="21" t="str">
        <f t="shared" ca="1" si="1"/>
        <v>0年10ヵ月</v>
      </c>
      <c r="F57" s="18"/>
      <c r="G57" s="19" t="s">
        <v>514</v>
      </c>
      <c r="H57" s="13" t="str">
        <f t="shared" si="2"/>
        <v>https://scratch.mit.edu/users/kksm-y/</v>
      </c>
      <c r="I57" s="21">
        <v>2</v>
      </c>
      <c r="J57" s="13" t="s">
        <v>427</v>
      </c>
      <c r="K57" s="20" t="str">
        <f t="shared" si="9"/>
        <v>2021/12/12</v>
      </c>
      <c r="L57" s="40" t="str">
        <f t="shared" ca="1" si="10"/>
        <v>2年5ヵ月25日</v>
      </c>
      <c r="M57" s="15">
        <v>169</v>
      </c>
      <c r="N57" s="15">
        <v>5543</v>
      </c>
      <c r="O57" s="16">
        <f t="shared" si="3"/>
        <v>3.0488904925130796E-2</v>
      </c>
      <c r="P57" s="17">
        <v>49</v>
      </c>
      <c r="Q57" s="22">
        <f t="shared" ca="1" si="4"/>
        <v>1.6207276736493936</v>
      </c>
      <c r="R57" s="38">
        <v>3885</v>
      </c>
      <c r="S57" s="22">
        <f t="shared" ca="1" si="5"/>
        <v>128.50055126791619</v>
      </c>
      <c r="T57" s="22">
        <f t="shared" si="11"/>
        <v>79.285714285714292</v>
      </c>
      <c r="U57" s="17">
        <v>2873</v>
      </c>
      <c r="V57" s="22">
        <f t="shared" ca="1" si="7"/>
        <v>95.027563395810361</v>
      </c>
      <c r="W57" s="22">
        <f t="shared" si="8"/>
        <v>58.632653061224488</v>
      </c>
      <c r="X57" s="13"/>
    </row>
    <row r="58" spans="1:24" x14ac:dyDescent="0.4">
      <c r="A58" s="13" t="s">
        <v>29</v>
      </c>
      <c r="B58" s="13" t="s">
        <v>490</v>
      </c>
      <c r="C58" s="13" t="str">
        <f t="shared" si="0"/>
        <v>https://x.com/umeringo_2go</v>
      </c>
      <c r="D58" s="14">
        <v>44531</v>
      </c>
      <c r="E58" s="40" t="str">
        <f t="shared" ca="1" si="1"/>
        <v>2年6ヵ月</v>
      </c>
      <c r="F58" s="18"/>
      <c r="G58" s="19" t="s">
        <v>28</v>
      </c>
      <c r="H58" s="13" t="str">
        <f t="shared" si="2"/>
        <v>https://scratch.mit.edu/users/ringo2go/</v>
      </c>
      <c r="I58" s="21">
        <v>2</v>
      </c>
      <c r="J58" s="13" t="s">
        <v>427</v>
      </c>
      <c r="K58" s="20" t="str">
        <f t="shared" si="9"/>
        <v>2015/08/23</v>
      </c>
      <c r="L58" s="40" t="str">
        <f t="shared" ca="1" si="10"/>
        <v>8年9ヵ月14日</v>
      </c>
      <c r="M58" s="15">
        <v>34</v>
      </c>
      <c r="N58" s="15">
        <v>2490</v>
      </c>
      <c r="O58" s="16">
        <f t="shared" si="3"/>
        <v>1.3654618473895583E-2</v>
      </c>
      <c r="P58" s="17">
        <v>66</v>
      </c>
      <c r="Q58" s="22">
        <f t="shared" ca="1" si="4"/>
        <v>0.61682242990654201</v>
      </c>
      <c r="R58" s="38">
        <v>773</v>
      </c>
      <c r="S58" s="22">
        <f t="shared" ca="1" si="5"/>
        <v>7.2242990654205608</v>
      </c>
      <c r="T58" s="22">
        <f t="shared" si="11"/>
        <v>11.712121212121213</v>
      </c>
      <c r="U58" s="17">
        <v>531</v>
      </c>
      <c r="V58" s="22">
        <f t="shared" ca="1" si="7"/>
        <v>4.962616822429907</v>
      </c>
      <c r="W58" s="22">
        <f t="shared" si="8"/>
        <v>8.045454545454545</v>
      </c>
      <c r="X58" s="13"/>
    </row>
    <row r="59" spans="1:24" x14ac:dyDescent="0.4">
      <c r="A59" s="13" t="s">
        <v>272</v>
      </c>
      <c r="B59" s="13" t="s">
        <v>273</v>
      </c>
      <c r="C59" s="13" t="str">
        <f t="shared" si="0"/>
        <v>https://x.com/UXRCF_sc</v>
      </c>
      <c r="D59" s="14">
        <v>44682</v>
      </c>
      <c r="E59" s="40" t="str">
        <f t="shared" ca="1" si="1"/>
        <v>2年1ヵ月</v>
      </c>
      <c r="F59" s="18"/>
      <c r="G59" s="19" t="s">
        <v>339</v>
      </c>
      <c r="H59" s="13" t="str">
        <f t="shared" si="2"/>
        <v>https://scratch.mit.edu/users/UXRCF/</v>
      </c>
      <c r="I59" s="21">
        <v>2</v>
      </c>
      <c r="J59" s="13" t="s">
        <v>427</v>
      </c>
      <c r="K59" s="20" t="str">
        <f t="shared" si="9"/>
        <v>2020/05/09</v>
      </c>
      <c r="L59" s="40" t="str">
        <f t="shared" ca="1" si="10"/>
        <v>4年0ヵ月28日</v>
      </c>
      <c r="M59" s="15">
        <v>1140</v>
      </c>
      <c r="N59" s="15">
        <v>6323</v>
      </c>
      <c r="O59" s="16">
        <f t="shared" si="3"/>
        <v>0.18029416416258107</v>
      </c>
      <c r="P59" s="17">
        <v>49</v>
      </c>
      <c r="Q59" s="22">
        <f t="shared" ca="1" si="4"/>
        <v>0.98723975822699794</v>
      </c>
      <c r="R59" s="38">
        <v>516</v>
      </c>
      <c r="S59" s="22">
        <f t="shared" ca="1" si="5"/>
        <v>10.396239086635326</v>
      </c>
      <c r="T59" s="22">
        <f t="shared" si="11"/>
        <v>10.530612244897959</v>
      </c>
      <c r="U59" s="17">
        <v>481</v>
      </c>
      <c r="V59" s="22">
        <f t="shared" ca="1" si="7"/>
        <v>9.6910678307588984</v>
      </c>
      <c r="W59" s="22">
        <f t="shared" si="8"/>
        <v>9.816326530612244</v>
      </c>
      <c r="X59" s="13"/>
    </row>
    <row r="60" spans="1:24" x14ac:dyDescent="0.4">
      <c r="A60" s="13" t="s">
        <v>146</v>
      </c>
      <c r="B60" s="13" t="s">
        <v>145</v>
      </c>
      <c r="C60" s="13" t="str">
        <f t="shared" si="0"/>
        <v>https://x.com/_crys25</v>
      </c>
      <c r="D60" s="14">
        <v>45139</v>
      </c>
      <c r="E60" s="40" t="str">
        <f t="shared" ca="1" si="1"/>
        <v>0年10ヵ月</v>
      </c>
      <c r="F60" s="18" t="s">
        <v>16</v>
      </c>
      <c r="G60" s="19" t="s">
        <v>144</v>
      </c>
      <c r="H60" s="13" t="str">
        <f t="shared" si="2"/>
        <v>https://scratch.mit.edu/users/Crystal-25/</v>
      </c>
      <c r="I60" s="21">
        <v>3</v>
      </c>
      <c r="J60" s="13" t="s">
        <v>426</v>
      </c>
      <c r="K60" s="20" t="str">
        <f t="shared" si="9"/>
        <v>2020/08/09</v>
      </c>
      <c r="L60" s="40" t="str">
        <f t="shared" ca="1" si="10"/>
        <v>3年9ヵ月28日</v>
      </c>
      <c r="M60" s="15">
        <v>48</v>
      </c>
      <c r="N60" s="15">
        <v>5351</v>
      </c>
      <c r="O60" s="16">
        <f t="shared" si="3"/>
        <v>8.9702859278639503E-3</v>
      </c>
      <c r="P60" s="17">
        <v>146</v>
      </c>
      <c r="Q60" s="22">
        <f t="shared" ca="1" si="4"/>
        <v>3.1352899069434499</v>
      </c>
      <c r="R60" s="38">
        <v>1864</v>
      </c>
      <c r="S60" s="22">
        <f t="shared" ca="1" si="5"/>
        <v>40.028632784538296</v>
      </c>
      <c r="T60" s="22">
        <f t="shared" si="11"/>
        <v>12.767123287671232</v>
      </c>
      <c r="U60" s="17">
        <v>580</v>
      </c>
      <c r="V60" s="22">
        <f t="shared" ca="1" si="7"/>
        <v>12.455261274158911</v>
      </c>
      <c r="W60" s="22">
        <f t="shared" si="8"/>
        <v>3.9726027397260273</v>
      </c>
      <c r="X60" s="13"/>
    </row>
    <row r="61" spans="1:24" x14ac:dyDescent="0.4">
      <c r="A61" s="13" t="s">
        <v>551</v>
      </c>
      <c r="B61" s="13">
        <v>1998</v>
      </c>
      <c r="C61" s="13" t="str">
        <f t="shared" si="0"/>
        <v>https://x.com/1998ky262_FX</v>
      </c>
      <c r="D61" s="14">
        <v>44713</v>
      </c>
      <c r="E61" s="21" t="str">
        <f t="shared" ca="1" si="1"/>
        <v>2年0ヵ月</v>
      </c>
      <c r="F61" s="18"/>
      <c r="G61" s="19" t="s">
        <v>552</v>
      </c>
      <c r="H61" s="13" t="str">
        <f t="shared" si="2"/>
        <v>https://scratch.mit.edu/users/Springer_JA/</v>
      </c>
      <c r="I61" s="21">
        <v>3</v>
      </c>
      <c r="J61" s="13" t="s">
        <v>426</v>
      </c>
      <c r="K61" s="20" t="str">
        <f t="shared" si="9"/>
        <v>2022/11/07</v>
      </c>
      <c r="L61" s="40" t="str">
        <f t="shared" ca="1" si="10"/>
        <v>1年6ヵ月30日</v>
      </c>
      <c r="M61" s="15">
        <v>67</v>
      </c>
      <c r="N61" s="15">
        <v>173</v>
      </c>
      <c r="O61" s="16">
        <f t="shared" si="3"/>
        <v>0.38728323699421963</v>
      </c>
      <c r="P61" s="17">
        <v>5</v>
      </c>
      <c r="Q61" s="22">
        <f t="shared" ca="1" si="4"/>
        <v>0.25996533795493931</v>
      </c>
      <c r="R61" s="38">
        <v>80</v>
      </c>
      <c r="S61" s="22">
        <f t="shared" ca="1" si="5"/>
        <v>4.159445407279029</v>
      </c>
      <c r="T61" s="22">
        <f t="shared" si="11"/>
        <v>16</v>
      </c>
      <c r="U61" s="17">
        <v>48</v>
      </c>
      <c r="V61" s="22">
        <f t="shared" ca="1" si="7"/>
        <v>2.4956672443674175</v>
      </c>
      <c r="W61" s="22">
        <f t="shared" si="8"/>
        <v>9.6</v>
      </c>
      <c r="X61" s="13"/>
    </row>
    <row r="62" spans="1:24" x14ac:dyDescent="0.4">
      <c r="A62" s="13" t="s">
        <v>577</v>
      </c>
      <c r="B62" s="13" t="s">
        <v>578</v>
      </c>
      <c r="C62" s="13" t="str">
        <f t="shared" si="0"/>
        <v>https://x.com/aisu_teo</v>
      </c>
      <c r="D62" s="14">
        <v>45047</v>
      </c>
      <c r="E62" s="21" t="str">
        <f t="shared" ca="1" si="1"/>
        <v>1年1ヵ月</v>
      </c>
      <c r="F62" s="18"/>
      <c r="G62" s="19" t="s">
        <v>579</v>
      </c>
      <c r="H62" s="13" t="str">
        <f t="shared" si="2"/>
        <v>https://scratch.mit.edu/users/SmewDZN/</v>
      </c>
      <c r="I62" s="21">
        <v>3</v>
      </c>
      <c r="J62" s="13" t="s">
        <v>426</v>
      </c>
      <c r="K62" s="20" t="str">
        <f t="shared" si="9"/>
        <v>2023/10/19</v>
      </c>
      <c r="L62" s="40" t="str">
        <f t="shared" ca="1" si="10"/>
        <v>0年7ヵ月18日</v>
      </c>
      <c r="M62" s="15">
        <v>105</v>
      </c>
      <c r="N62" s="15">
        <v>51</v>
      </c>
      <c r="O62" s="16">
        <f t="shared" si="3"/>
        <v>2.0588235294117645</v>
      </c>
      <c r="P62" s="17">
        <v>7</v>
      </c>
      <c r="Q62" s="22">
        <f t="shared" ca="1" si="4"/>
        <v>0.90909090909090906</v>
      </c>
      <c r="R62" s="38">
        <v>124</v>
      </c>
      <c r="S62" s="22">
        <f t="shared" ca="1" si="5"/>
        <v>16.103896103896105</v>
      </c>
      <c r="T62" s="22">
        <f t="shared" si="11"/>
        <v>17.714285714285715</v>
      </c>
      <c r="U62" s="17">
        <v>37</v>
      </c>
      <c r="V62" s="22">
        <f t="shared" ca="1" si="7"/>
        <v>4.8051948051948052</v>
      </c>
      <c r="W62" s="22">
        <f t="shared" si="8"/>
        <v>5.2857142857142856</v>
      </c>
      <c r="X62" s="13"/>
    </row>
    <row r="63" spans="1:24" x14ac:dyDescent="0.4">
      <c r="A63" s="13" t="s">
        <v>158</v>
      </c>
      <c r="B63" s="13" t="s">
        <v>159</v>
      </c>
      <c r="C63" s="13" t="str">
        <f t="shared" si="0"/>
        <v>https://x.com/Anemone_eizo</v>
      </c>
      <c r="D63" s="14">
        <v>45047</v>
      </c>
      <c r="E63" s="40" t="str">
        <f t="shared" ca="1" si="1"/>
        <v>1年1ヵ月</v>
      </c>
      <c r="F63" s="18"/>
      <c r="G63" s="19" t="s">
        <v>285</v>
      </c>
      <c r="H63" s="13" t="str">
        <f t="shared" si="2"/>
        <v>https://scratch.mit.edu/users/Anemone_080/</v>
      </c>
      <c r="I63" s="21">
        <v>3</v>
      </c>
      <c r="J63" s="13" t="s">
        <v>426</v>
      </c>
      <c r="K63" s="20" t="str">
        <f t="shared" si="9"/>
        <v>2023/04/24</v>
      </c>
      <c r="L63" s="40" t="str">
        <f t="shared" ca="1" si="10"/>
        <v>1年1ヵ月13日</v>
      </c>
      <c r="M63" s="15">
        <v>39</v>
      </c>
      <c r="N63" s="15">
        <v>77</v>
      </c>
      <c r="O63" s="16">
        <f t="shared" si="3"/>
        <v>0.50649350649350644</v>
      </c>
      <c r="P63" s="17">
        <v>10</v>
      </c>
      <c r="Q63" s="22">
        <f t="shared" ca="1" si="4"/>
        <v>0.73349633251833746</v>
      </c>
      <c r="R63" s="38">
        <v>169</v>
      </c>
      <c r="S63" s="22">
        <f t="shared" ca="1" si="5"/>
        <v>12.396088019559903</v>
      </c>
      <c r="T63" s="22">
        <f t="shared" si="11"/>
        <v>16.899999999999999</v>
      </c>
      <c r="U63" s="17">
        <v>85</v>
      </c>
      <c r="V63" s="22">
        <f t="shared" ca="1" si="7"/>
        <v>6.2347188264058682</v>
      </c>
      <c r="W63" s="22">
        <f t="shared" si="8"/>
        <v>8.5</v>
      </c>
      <c r="X63" s="13"/>
    </row>
    <row r="64" spans="1:24" x14ac:dyDescent="0.4">
      <c r="A64" s="13" t="s">
        <v>160</v>
      </c>
      <c r="B64" s="13" t="s">
        <v>161</v>
      </c>
      <c r="C64" s="13" t="str">
        <f t="shared" si="0"/>
        <v>https://x.com/artz_night</v>
      </c>
      <c r="D64" s="14">
        <v>45200</v>
      </c>
      <c r="E64" s="40" t="str">
        <f t="shared" ca="1" si="1"/>
        <v>0年8ヵ月</v>
      </c>
      <c r="F64" s="18"/>
      <c r="G64" s="19" t="s">
        <v>286</v>
      </c>
      <c r="H64" s="13" t="str">
        <f t="shared" si="2"/>
        <v>https://scratch.mit.edu/users/Nightartz/</v>
      </c>
      <c r="I64" s="21">
        <v>3</v>
      </c>
      <c r="J64" s="13" t="s">
        <v>426</v>
      </c>
      <c r="K64" s="20" t="str">
        <f t="shared" si="9"/>
        <v>2023/10/15</v>
      </c>
      <c r="L64" s="40" t="str">
        <f t="shared" ca="1" si="10"/>
        <v>0年7ヵ月22日</v>
      </c>
      <c r="M64" s="15">
        <v>259</v>
      </c>
      <c r="N64" s="15">
        <v>101</v>
      </c>
      <c r="O64" s="16">
        <f t="shared" si="3"/>
        <v>2.5643564356435644</v>
      </c>
      <c r="P64" s="17">
        <v>4</v>
      </c>
      <c r="Q64" s="22">
        <f t="shared" ca="1" si="4"/>
        <v>0.5106382978723405</v>
      </c>
      <c r="R64" s="38">
        <v>2861</v>
      </c>
      <c r="S64" s="22">
        <f t="shared" ca="1" si="5"/>
        <v>365.2340425531915</v>
      </c>
      <c r="T64" s="22">
        <f t="shared" si="11"/>
        <v>715.25</v>
      </c>
      <c r="U64" s="17">
        <v>2430</v>
      </c>
      <c r="V64" s="22">
        <f t="shared" ca="1" si="7"/>
        <v>310.21276595744683</v>
      </c>
      <c r="W64" s="22">
        <f t="shared" si="8"/>
        <v>607.5</v>
      </c>
      <c r="X64" s="13"/>
    </row>
    <row r="65" spans="1:25" x14ac:dyDescent="0.4">
      <c r="A65" s="13" t="s">
        <v>125</v>
      </c>
      <c r="B65" s="13" t="s">
        <v>432</v>
      </c>
      <c r="C65" s="13" t="str">
        <f t="shared" si="0"/>
        <v>https://x.com/Ashibara_</v>
      </c>
      <c r="D65" s="14">
        <v>44470</v>
      </c>
      <c r="E65" s="40" t="str">
        <f t="shared" ca="1" si="1"/>
        <v>2年8ヵ月</v>
      </c>
      <c r="F65" s="18"/>
      <c r="G65" s="19" t="s">
        <v>124</v>
      </c>
      <c r="H65" s="13" t="str">
        <f t="shared" si="2"/>
        <v>https://scratch.mit.edu/users/Ashibara_Art/</v>
      </c>
      <c r="I65" s="21">
        <v>3</v>
      </c>
      <c r="J65" s="13" t="s">
        <v>426</v>
      </c>
      <c r="K65" s="20" t="str">
        <f t="shared" si="9"/>
        <v>2021/12/28</v>
      </c>
      <c r="L65" s="40" t="str">
        <f t="shared" ca="1" si="10"/>
        <v>2年5ヵ月9日</v>
      </c>
      <c r="M65" s="15">
        <v>72</v>
      </c>
      <c r="N65" s="15">
        <v>3702</v>
      </c>
      <c r="O65" s="16">
        <f t="shared" si="3"/>
        <v>1.9448946515397084E-2</v>
      </c>
      <c r="P65" s="17">
        <v>97</v>
      </c>
      <c r="Q65" s="22">
        <f t="shared" ca="1" si="4"/>
        <v>3.265993265993266</v>
      </c>
      <c r="R65" s="38">
        <v>4</v>
      </c>
      <c r="S65" s="22">
        <f t="shared" ca="1" si="5"/>
        <v>0.13468013468013468</v>
      </c>
      <c r="T65" s="22">
        <f t="shared" si="11"/>
        <v>4.1237113402061855E-2</v>
      </c>
      <c r="U65" s="17">
        <v>4</v>
      </c>
      <c r="V65" s="22">
        <f t="shared" ca="1" si="7"/>
        <v>0.13468013468013468</v>
      </c>
      <c r="W65" s="22">
        <f t="shared" si="8"/>
        <v>4.1237113402061855E-2</v>
      </c>
      <c r="X65" s="13"/>
    </row>
    <row r="66" spans="1:25" s="36" customFormat="1" x14ac:dyDescent="0.4">
      <c r="A66" s="13" t="s">
        <v>121</v>
      </c>
      <c r="B66" s="13" t="s">
        <v>456</v>
      </c>
      <c r="C66" s="13" t="str">
        <f t="shared" ref="C66:C129" si="12">"https://x.com/"&amp;A66</f>
        <v>https://x.com/atri_nen</v>
      </c>
      <c r="D66" s="14">
        <v>45108</v>
      </c>
      <c r="E66" s="40" t="str">
        <f t="shared" ref="E66:E129" ca="1" si="13">DATEDIF($D66,TODAY(),"y")&amp;"年"&amp;DATEDIF($D66,TODAY(),"YM")&amp;"ヵ月"</f>
        <v>0年11ヵ月</v>
      </c>
      <c r="F66" s="18"/>
      <c r="G66" s="19" t="s">
        <v>120</v>
      </c>
      <c r="H66" s="13" t="str">
        <f t="shared" ref="H66:H129" si="14">"https://scratch.mit.edu/users/"&amp;G66&amp;"/"</f>
        <v>https://scratch.mit.edu/users/Atridott/</v>
      </c>
      <c r="I66" s="21">
        <v>3</v>
      </c>
      <c r="J66" s="13" t="s">
        <v>426</v>
      </c>
      <c r="K66" s="20" t="str">
        <f t="shared" si="9"/>
        <v>2022/03/18</v>
      </c>
      <c r="L66" s="40" t="str">
        <f t="shared" ca="1" si="10"/>
        <v>2年2ヵ月19日</v>
      </c>
      <c r="M66" s="15">
        <v>113</v>
      </c>
      <c r="N66" s="15">
        <v>347</v>
      </c>
      <c r="O66" s="16">
        <f t="shared" ref="O66:O129" si="15">M66/N66</f>
        <v>0.32564841498559077</v>
      </c>
      <c r="P66" s="17">
        <v>32</v>
      </c>
      <c r="Q66" s="22">
        <f t="shared" ref="Q66:Q129" ca="1" si="16">IFERROR(P66/(DATEDIF(K66,TODAY(),"d")/30),0)</f>
        <v>1.1837237977805177</v>
      </c>
      <c r="R66" s="38">
        <v>1042</v>
      </c>
      <c r="S66" s="22">
        <f t="shared" ref="S66:S129" ca="1" si="17">IFERROR(R66/(DATEDIF($K66,TODAY(),"d")/30),0)</f>
        <v>38.545006165228109</v>
      </c>
      <c r="T66" s="22">
        <f t="shared" ref="T66:T97" si="18">IFERROR(R66/$P66,0)</f>
        <v>32.5625</v>
      </c>
      <c r="U66" s="17">
        <v>913</v>
      </c>
      <c r="V66" s="22">
        <f t="shared" ref="V66:V129" ca="1" si="19">IFERROR(U66/(DATEDIF(K66,TODAY(),"d")/30),0)</f>
        <v>33.7731196054254</v>
      </c>
      <c r="W66" s="22">
        <f t="shared" ref="W66:W129" si="20">IFERROR(U66/$P66,0)</f>
        <v>28.53125</v>
      </c>
      <c r="X66" s="13"/>
      <c r="Y66" s="23"/>
    </row>
    <row r="67" spans="1:25" x14ac:dyDescent="0.4">
      <c r="A67" s="13" t="s">
        <v>164</v>
      </c>
      <c r="B67" s="13" t="s">
        <v>165</v>
      </c>
      <c r="C67" s="13" t="str">
        <f t="shared" si="12"/>
        <v>https://x.com/AtyapiFX</v>
      </c>
      <c r="D67" s="14">
        <v>44927</v>
      </c>
      <c r="E67" s="40" t="str">
        <f t="shared" ca="1" si="13"/>
        <v>1年5ヵ月</v>
      </c>
      <c r="F67" s="18"/>
      <c r="G67" s="19" t="s">
        <v>288</v>
      </c>
      <c r="H67" s="13" t="str">
        <f t="shared" si="14"/>
        <v>https://scratch.mit.edu/users/atyapi-FX/</v>
      </c>
      <c r="I67" s="21">
        <v>3</v>
      </c>
      <c r="J67" s="13" t="s">
        <v>426</v>
      </c>
      <c r="K67" s="20" t="str">
        <f t="shared" ref="K67:K130" si="21">SUBSTITUTE(MID(_xlfn.WEBSERVICE("https://api.scratch.mit.edu/users/"&amp;$G67),FIND("joined",_xlfn.WEBSERVICE("https://api.scratch.mit.edu/users/"&amp;$G67))+9,10),"-","/")</f>
        <v>2022/03/18</v>
      </c>
      <c r="L67" s="40" t="str">
        <f t="shared" ref="L67:L130" ca="1" si="22">DATEDIF($K67,TODAY(),"y")&amp;"年"&amp;DATEDIF($K67,TODAY(),"YM")&amp;"ヵ月"&amp;DATEDIF($K67,TODAY(),"md")&amp;"日"</f>
        <v>2年2ヵ月19日</v>
      </c>
      <c r="M67" s="15">
        <v>77</v>
      </c>
      <c r="N67" s="15">
        <v>658</v>
      </c>
      <c r="O67" s="16">
        <f t="shared" si="15"/>
        <v>0.11702127659574468</v>
      </c>
      <c r="P67" s="17">
        <v>187</v>
      </c>
      <c r="Q67" s="22">
        <f t="shared" ca="1" si="16"/>
        <v>6.9173859432799008</v>
      </c>
      <c r="R67" s="38">
        <v>1409</v>
      </c>
      <c r="S67" s="22">
        <f t="shared" ca="1" si="17"/>
        <v>52.120838471023426</v>
      </c>
      <c r="T67" s="22">
        <f t="shared" si="18"/>
        <v>7.5347593582887704</v>
      </c>
      <c r="U67" s="17">
        <v>1216</v>
      </c>
      <c r="V67" s="22">
        <f t="shared" ca="1" si="19"/>
        <v>44.981504315659677</v>
      </c>
      <c r="W67" s="22">
        <f t="shared" si="20"/>
        <v>6.5026737967914441</v>
      </c>
      <c r="X67" s="13"/>
    </row>
    <row r="68" spans="1:25" x14ac:dyDescent="0.4">
      <c r="A68" s="13" t="s">
        <v>119</v>
      </c>
      <c r="B68" s="13" t="s">
        <v>118</v>
      </c>
      <c r="C68" s="13" t="str">
        <f t="shared" si="12"/>
        <v>https://x.com/avi0111_</v>
      </c>
      <c r="D68" s="14">
        <v>45292</v>
      </c>
      <c r="E68" s="40" t="str">
        <f t="shared" ca="1" si="13"/>
        <v>0年5ヵ月</v>
      </c>
      <c r="F68" s="18"/>
      <c r="G68" s="19" t="s">
        <v>117</v>
      </c>
      <c r="H68" s="13" t="str">
        <f t="shared" si="14"/>
        <v>https://scratch.mit.edu/users/-AviFX-/</v>
      </c>
      <c r="I68" s="21">
        <v>3</v>
      </c>
      <c r="J68" s="13" t="s">
        <v>426</v>
      </c>
      <c r="K68" s="20" t="str">
        <f t="shared" si="21"/>
        <v>2022/12/12</v>
      </c>
      <c r="L68" s="40" t="str">
        <f t="shared" ca="1" si="22"/>
        <v>1年5ヵ月25日</v>
      </c>
      <c r="M68" s="15">
        <v>63</v>
      </c>
      <c r="N68" s="15">
        <v>484</v>
      </c>
      <c r="O68" s="16">
        <f t="shared" si="15"/>
        <v>0.13016528925619836</v>
      </c>
      <c r="P68" s="17">
        <v>28</v>
      </c>
      <c r="Q68" s="22">
        <f t="shared" ca="1" si="16"/>
        <v>1.5498154981549817</v>
      </c>
      <c r="R68" s="38">
        <v>926</v>
      </c>
      <c r="S68" s="22">
        <f t="shared" ca="1" si="17"/>
        <v>51.254612546125465</v>
      </c>
      <c r="T68" s="22">
        <f t="shared" si="18"/>
        <v>33.071428571428569</v>
      </c>
      <c r="U68" s="17">
        <v>803</v>
      </c>
      <c r="V68" s="22">
        <f t="shared" ca="1" si="19"/>
        <v>44.446494464944649</v>
      </c>
      <c r="W68" s="22">
        <f t="shared" si="20"/>
        <v>28.678571428571427</v>
      </c>
      <c r="X68" s="13"/>
    </row>
    <row r="69" spans="1:25" x14ac:dyDescent="0.4">
      <c r="A69" s="13" t="s">
        <v>167</v>
      </c>
      <c r="B69" s="13" t="s">
        <v>168</v>
      </c>
      <c r="C69" s="13" t="str">
        <f t="shared" si="12"/>
        <v>https://x.com/BlueYtr35</v>
      </c>
      <c r="D69" s="14">
        <v>44743</v>
      </c>
      <c r="E69" s="40" t="str">
        <f t="shared" ca="1" si="13"/>
        <v>1年11ヵ月</v>
      </c>
      <c r="F69" s="18"/>
      <c r="G69" s="19" t="s">
        <v>290</v>
      </c>
      <c r="H69" s="13" t="str">
        <f t="shared" si="14"/>
        <v>https://scratch.mit.edu/users/BlueYTR35/</v>
      </c>
      <c r="I69" s="21">
        <v>3</v>
      </c>
      <c r="J69" s="13" t="s">
        <v>426</v>
      </c>
      <c r="K69" s="20" t="str">
        <f t="shared" si="21"/>
        <v>2015/08/22</v>
      </c>
      <c r="L69" s="40" t="str">
        <f t="shared" ca="1" si="22"/>
        <v>8年9ヵ月15日</v>
      </c>
      <c r="M69" s="15">
        <v>0</v>
      </c>
      <c r="N69" s="15">
        <v>2894</v>
      </c>
      <c r="O69" s="16">
        <f t="shared" si="15"/>
        <v>0</v>
      </c>
      <c r="P69" s="17">
        <v>10</v>
      </c>
      <c r="Q69" s="22">
        <f t="shared" ca="1" si="16"/>
        <v>9.3428838368109626E-2</v>
      </c>
      <c r="R69" s="38">
        <v>46</v>
      </c>
      <c r="S69" s="22">
        <f t="shared" ca="1" si="17"/>
        <v>0.42977265649330426</v>
      </c>
      <c r="T69" s="22">
        <f t="shared" si="18"/>
        <v>4.5999999999999996</v>
      </c>
      <c r="U69" s="17">
        <v>1</v>
      </c>
      <c r="V69" s="22">
        <f t="shared" ca="1" si="19"/>
        <v>9.3428838368109623E-3</v>
      </c>
      <c r="W69" s="22">
        <f t="shared" si="20"/>
        <v>0.1</v>
      </c>
      <c r="X69" s="13"/>
    </row>
    <row r="70" spans="1:25" x14ac:dyDescent="0.4">
      <c r="A70" s="13" t="s">
        <v>402</v>
      </c>
      <c r="B70" s="13" t="s">
        <v>14</v>
      </c>
      <c r="C70" s="13" t="str">
        <f t="shared" si="12"/>
        <v>https://x.com/cit_r1ne</v>
      </c>
      <c r="D70" s="14">
        <v>44531</v>
      </c>
      <c r="E70" s="40" t="str">
        <f t="shared" ca="1" si="13"/>
        <v>2年6ヵ月</v>
      </c>
      <c r="F70" s="18"/>
      <c r="G70" s="19" t="s">
        <v>116</v>
      </c>
      <c r="H70" s="13" t="str">
        <f t="shared" si="14"/>
        <v>https://scratch.mit.edu/users/CitrinN/</v>
      </c>
      <c r="I70" s="21">
        <v>3</v>
      </c>
      <c r="J70" s="13" t="s">
        <v>426</v>
      </c>
      <c r="K70" s="20" t="str">
        <f t="shared" si="21"/>
        <v>2021/10/30</v>
      </c>
      <c r="L70" s="40" t="str">
        <f t="shared" ca="1" si="22"/>
        <v>2年7ヵ月7日</v>
      </c>
      <c r="M70" s="15">
        <v>90</v>
      </c>
      <c r="N70" s="15">
        <v>942</v>
      </c>
      <c r="O70" s="16">
        <f t="shared" si="15"/>
        <v>9.5541401273885357E-2</v>
      </c>
      <c r="P70" s="17">
        <v>41</v>
      </c>
      <c r="Q70" s="22">
        <f t="shared" ca="1" si="16"/>
        <v>1.2947368421052632</v>
      </c>
      <c r="R70" s="38">
        <v>2360</v>
      </c>
      <c r="S70" s="22">
        <f t="shared" ca="1" si="17"/>
        <v>74.526315789473685</v>
      </c>
      <c r="T70" s="22">
        <f t="shared" si="18"/>
        <v>57.560975609756099</v>
      </c>
      <c r="U70" s="17">
        <v>1347</v>
      </c>
      <c r="V70" s="22">
        <f t="shared" ca="1" si="19"/>
        <v>42.536842105263155</v>
      </c>
      <c r="W70" s="22">
        <f t="shared" si="20"/>
        <v>32.853658536585364</v>
      </c>
      <c r="X70" s="13"/>
    </row>
    <row r="71" spans="1:25" x14ac:dyDescent="0.4">
      <c r="A71" s="13" t="s">
        <v>447</v>
      </c>
      <c r="B71" s="13" t="s">
        <v>448</v>
      </c>
      <c r="C71" s="13" t="str">
        <f t="shared" si="12"/>
        <v>https://x.com/Crown0216_sc</v>
      </c>
      <c r="D71" s="14">
        <v>45383</v>
      </c>
      <c r="E71" s="21" t="str">
        <f t="shared" ca="1" si="13"/>
        <v>0年2ヵ月</v>
      </c>
      <c r="F71" s="18"/>
      <c r="G71" s="19" t="s">
        <v>449</v>
      </c>
      <c r="H71" s="13" t="str">
        <f t="shared" si="14"/>
        <v>https://scratch.mit.edu/users/-Crown-FX-/</v>
      </c>
      <c r="I71" s="21">
        <v>3</v>
      </c>
      <c r="J71" s="13" t="s">
        <v>426</v>
      </c>
      <c r="K71" s="20" t="str">
        <f t="shared" si="21"/>
        <v>2023/07/06</v>
      </c>
      <c r="L71" s="40" t="str">
        <f t="shared" ca="1" si="22"/>
        <v>0年11ヵ月0日</v>
      </c>
      <c r="M71" s="15">
        <v>57</v>
      </c>
      <c r="N71" s="15">
        <v>170</v>
      </c>
      <c r="O71" s="16">
        <f t="shared" si="15"/>
        <v>0.3352941176470588</v>
      </c>
      <c r="P71" s="17">
        <v>4</v>
      </c>
      <c r="Q71" s="22">
        <f t="shared" ca="1" si="16"/>
        <v>0.35714285714285715</v>
      </c>
      <c r="R71" s="38">
        <v>945</v>
      </c>
      <c r="S71" s="22">
        <f t="shared" ca="1" si="17"/>
        <v>84.375</v>
      </c>
      <c r="T71" s="22">
        <f t="shared" si="18"/>
        <v>236.25</v>
      </c>
      <c r="U71" s="17">
        <v>695</v>
      </c>
      <c r="V71" s="22">
        <f t="shared" ca="1" si="19"/>
        <v>62.053571428571431</v>
      </c>
      <c r="W71" s="22">
        <f t="shared" si="20"/>
        <v>173.75</v>
      </c>
      <c r="X71" s="13"/>
    </row>
    <row r="72" spans="1:25" x14ac:dyDescent="0.4">
      <c r="A72" s="13" t="s">
        <v>115</v>
      </c>
      <c r="B72" s="13" t="s">
        <v>114</v>
      </c>
      <c r="C72" s="13" t="str">
        <f t="shared" si="12"/>
        <v>https://x.com/Cyclone080808</v>
      </c>
      <c r="D72" s="14">
        <v>44743</v>
      </c>
      <c r="E72" s="40" t="str">
        <f t="shared" ca="1" si="13"/>
        <v>1年11ヵ月</v>
      </c>
      <c r="F72" s="18"/>
      <c r="G72" s="19" t="s">
        <v>113</v>
      </c>
      <c r="H72" s="13" t="str">
        <f t="shared" si="14"/>
        <v>https://scratch.mit.edu/users/Saikuron_Iida/</v>
      </c>
      <c r="I72" s="21">
        <v>3</v>
      </c>
      <c r="J72" s="13" t="s">
        <v>426</v>
      </c>
      <c r="K72" s="20" t="str">
        <f t="shared" si="21"/>
        <v>2023/10/07</v>
      </c>
      <c r="L72" s="40" t="str">
        <f t="shared" ca="1" si="22"/>
        <v>0年7ヵ月30日</v>
      </c>
      <c r="M72" s="15">
        <v>26</v>
      </c>
      <c r="N72" s="15">
        <v>30</v>
      </c>
      <c r="O72" s="16">
        <f t="shared" si="15"/>
        <v>0.8666666666666667</v>
      </c>
      <c r="P72" s="17">
        <v>2</v>
      </c>
      <c r="Q72" s="22">
        <f t="shared" ca="1" si="16"/>
        <v>0.24691358024691359</v>
      </c>
      <c r="R72" s="38">
        <v>9</v>
      </c>
      <c r="S72" s="22">
        <f t="shared" ca="1" si="17"/>
        <v>1.1111111111111112</v>
      </c>
      <c r="T72" s="22">
        <f t="shared" si="18"/>
        <v>4.5</v>
      </c>
      <c r="U72" s="17">
        <v>8</v>
      </c>
      <c r="V72" s="22">
        <f t="shared" ca="1" si="19"/>
        <v>0.98765432098765438</v>
      </c>
      <c r="W72" s="22">
        <f t="shared" si="20"/>
        <v>4</v>
      </c>
      <c r="X72" s="13"/>
    </row>
    <row r="73" spans="1:25" x14ac:dyDescent="0.4">
      <c r="A73" s="13" t="s">
        <v>175</v>
      </c>
      <c r="B73" s="13" t="s">
        <v>176</v>
      </c>
      <c r="C73" s="13" t="str">
        <f t="shared" si="12"/>
        <v>https://x.com/dorasan0725</v>
      </c>
      <c r="D73" s="14">
        <v>44743</v>
      </c>
      <c r="E73" s="40" t="str">
        <f t="shared" ca="1" si="13"/>
        <v>1年11ヵ月</v>
      </c>
      <c r="F73" s="18"/>
      <c r="G73" s="19" t="s">
        <v>293</v>
      </c>
      <c r="H73" s="13" t="str">
        <f t="shared" si="14"/>
        <v>https://scratch.mit.edu/users/doraemon0725/</v>
      </c>
      <c r="I73" s="21">
        <v>3</v>
      </c>
      <c r="J73" s="13" t="s">
        <v>426</v>
      </c>
      <c r="K73" s="20" t="str">
        <f t="shared" si="21"/>
        <v>2020/06/04</v>
      </c>
      <c r="L73" s="40" t="str">
        <f t="shared" ca="1" si="22"/>
        <v>4年0ヵ月2日</v>
      </c>
      <c r="M73" s="15">
        <v>345</v>
      </c>
      <c r="N73" s="15">
        <v>575</v>
      </c>
      <c r="O73" s="16">
        <f t="shared" si="15"/>
        <v>0.6</v>
      </c>
      <c r="P73" s="17">
        <v>160</v>
      </c>
      <c r="Q73" s="22">
        <f t="shared" ca="1" si="16"/>
        <v>3.2809295967190706</v>
      </c>
      <c r="R73" s="38">
        <v>1070</v>
      </c>
      <c r="S73" s="22">
        <f t="shared" ca="1" si="17"/>
        <v>21.941216678058783</v>
      </c>
      <c r="T73" s="22">
        <f t="shared" si="18"/>
        <v>6.6875</v>
      </c>
      <c r="U73" s="17">
        <v>902</v>
      </c>
      <c r="V73" s="22">
        <f t="shared" ca="1" si="19"/>
        <v>18.496240601503761</v>
      </c>
      <c r="W73" s="22">
        <f t="shared" si="20"/>
        <v>5.6375000000000002</v>
      </c>
      <c r="X73" s="13"/>
    </row>
    <row r="74" spans="1:25" x14ac:dyDescent="0.4">
      <c r="A74" s="13" t="s">
        <v>582</v>
      </c>
      <c r="B74" s="13" t="s">
        <v>583</v>
      </c>
      <c r="C74" s="13" t="str">
        <f t="shared" si="12"/>
        <v>https://x.com/Excel_DZN0832</v>
      </c>
      <c r="D74" s="14">
        <v>45413</v>
      </c>
      <c r="E74" s="21" t="str">
        <f t="shared" ca="1" si="13"/>
        <v>0年1ヵ月</v>
      </c>
      <c r="F74" s="18"/>
      <c r="G74" s="19" t="s">
        <v>584</v>
      </c>
      <c r="H74" s="13" t="str">
        <f t="shared" si="14"/>
        <v>https://scratch.mit.edu/users/ExcelDZN/</v>
      </c>
      <c r="I74" s="21">
        <v>3</v>
      </c>
      <c r="J74" s="13" t="s">
        <v>426</v>
      </c>
      <c r="K74" s="20" t="str">
        <f t="shared" si="21"/>
        <v>2023/07/01</v>
      </c>
      <c r="L74" s="40" t="str">
        <f t="shared" ca="1" si="22"/>
        <v>0年11ヵ月5日</v>
      </c>
      <c r="M74" s="15">
        <v>9</v>
      </c>
      <c r="N74" s="15">
        <v>163</v>
      </c>
      <c r="O74" s="16">
        <f t="shared" si="15"/>
        <v>5.5214723926380369E-2</v>
      </c>
      <c r="P74" s="17">
        <v>37</v>
      </c>
      <c r="Q74" s="22">
        <f t="shared" ca="1" si="16"/>
        <v>3.2551319648093839</v>
      </c>
      <c r="R74" s="38">
        <v>602</v>
      </c>
      <c r="S74" s="22">
        <f t="shared" ca="1" si="17"/>
        <v>52.961876832844574</v>
      </c>
      <c r="T74" s="22">
        <f t="shared" si="18"/>
        <v>16.27027027027027</v>
      </c>
      <c r="U74" s="17">
        <v>106</v>
      </c>
      <c r="V74" s="22">
        <f t="shared" ca="1" si="19"/>
        <v>9.3255131964809372</v>
      </c>
      <c r="W74" s="22">
        <f t="shared" si="20"/>
        <v>2.8648648648648649</v>
      </c>
      <c r="X74" s="13"/>
    </row>
    <row r="75" spans="1:25" x14ac:dyDescent="0.4">
      <c r="A75" s="13" t="s">
        <v>404</v>
      </c>
      <c r="B75" s="13" t="s">
        <v>358</v>
      </c>
      <c r="C75" s="13" t="str">
        <f t="shared" si="12"/>
        <v>https://x.com/F4NOH4164</v>
      </c>
      <c r="D75" s="14">
        <v>45352</v>
      </c>
      <c r="E75" s="40" t="str">
        <f t="shared" ca="1" si="13"/>
        <v>0年3ヵ月</v>
      </c>
      <c r="F75" s="18"/>
      <c r="G75" s="19" t="s">
        <v>359</v>
      </c>
      <c r="H75" s="13" t="str">
        <f t="shared" si="14"/>
        <v>https://scratch.mit.edu/users/FlanArtz/</v>
      </c>
      <c r="I75" s="21">
        <v>3</v>
      </c>
      <c r="J75" s="13" t="s">
        <v>426</v>
      </c>
      <c r="K75" s="20" t="str">
        <f t="shared" si="21"/>
        <v>2022/09/10</v>
      </c>
      <c r="L75" s="40" t="str">
        <f t="shared" ca="1" si="22"/>
        <v>1年8ヵ月27日</v>
      </c>
      <c r="M75" s="15">
        <v>278</v>
      </c>
      <c r="N75" s="15">
        <v>566</v>
      </c>
      <c r="O75" s="16">
        <f t="shared" si="15"/>
        <v>0.49116607773851589</v>
      </c>
      <c r="P75" s="17">
        <v>77</v>
      </c>
      <c r="Q75" s="22">
        <f t="shared" ca="1" si="16"/>
        <v>3.6377952755905509</v>
      </c>
      <c r="R75" s="38">
        <v>2797</v>
      </c>
      <c r="S75" s="22">
        <f t="shared" ca="1" si="17"/>
        <v>132.14173228346456</v>
      </c>
      <c r="T75" s="22">
        <f t="shared" si="18"/>
        <v>36.324675324675326</v>
      </c>
      <c r="U75" s="17">
        <v>2730</v>
      </c>
      <c r="V75" s="22">
        <f t="shared" ca="1" si="19"/>
        <v>128.97637795275591</v>
      </c>
      <c r="W75" s="22">
        <f t="shared" si="20"/>
        <v>35.454545454545453</v>
      </c>
      <c r="X75" s="13"/>
    </row>
    <row r="76" spans="1:25" x14ac:dyDescent="0.4">
      <c r="A76" s="13" t="s">
        <v>183</v>
      </c>
      <c r="B76" s="13" t="s">
        <v>405</v>
      </c>
      <c r="C76" s="13" t="str">
        <f t="shared" si="12"/>
        <v>https://x.com/Free_Banner_scr</v>
      </c>
      <c r="D76" s="14">
        <v>45170</v>
      </c>
      <c r="E76" s="40" t="str">
        <f t="shared" ca="1" si="13"/>
        <v>0年9ヵ月</v>
      </c>
      <c r="F76" s="18"/>
      <c r="G76" s="19" t="s">
        <v>297</v>
      </c>
      <c r="H76" s="13" t="str">
        <f t="shared" si="14"/>
        <v>https://scratch.mit.edu/users/NeetFX/</v>
      </c>
      <c r="I76" s="21">
        <v>3</v>
      </c>
      <c r="J76" s="13" t="s">
        <v>426</v>
      </c>
      <c r="K76" s="20" t="str">
        <f t="shared" si="21"/>
        <v>2023/10/14</v>
      </c>
      <c r="L76" s="40" t="str">
        <f t="shared" ca="1" si="22"/>
        <v>0年7ヵ月23日</v>
      </c>
      <c r="M76" s="15">
        <v>45</v>
      </c>
      <c r="N76" s="15">
        <v>144</v>
      </c>
      <c r="O76" s="16">
        <f t="shared" si="15"/>
        <v>0.3125</v>
      </c>
      <c r="P76" s="17">
        <v>45</v>
      </c>
      <c r="Q76" s="22">
        <f t="shared" ca="1" si="16"/>
        <v>5.7203389830508478</v>
      </c>
      <c r="R76" s="38">
        <v>2649</v>
      </c>
      <c r="S76" s="22">
        <f t="shared" ca="1" si="17"/>
        <v>336.73728813559325</v>
      </c>
      <c r="T76" s="22">
        <f t="shared" si="18"/>
        <v>58.866666666666667</v>
      </c>
      <c r="U76" s="17">
        <v>58</v>
      </c>
      <c r="V76" s="22">
        <f t="shared" ca="1" si="19"/>
        <v>7.3728813559322042</v>
      </c>
      <c r="W76" s="22">
        <f t="shared" si="20"/>
        <v>1.288888888888889</v>
      </c>
      <c r="X76" s="13"/>
    </row>
    <row r="77" spans="1:25" x14ac:dyDescent="0.4">
      <c r="A77" s="13" t="s">
        <v>112</v>
      </c>
      <c r="B77" s="13" t="s">
        <v>112</v>
      </c>
      <c r="C77" s="13" t="str">
        <f t="shared" si="12"/>
        <v>https://x.com/frezledz</v>
      </c>
      <c r="D77" s="14">
        <v>44256</v>
      </c>
      <c r="E77" s="40" t="str">
        <f t="shared" ca="1" si="13"/>
        <v>3年3ヵ月</v>
      </c>
      <c r="F77" s="18" t="s">
        <v>16</v>
      </c>
      <c r="G77" s="19" t="s">
        <v>111</v>
      </c>
      <c r="H77" s="13" t="str">
        <f t="shared" si="14"/>
        <v>https://scratch.mit.edu/users/xX_Freezer_Xx/</v>
      </c>
      <c r="I77" s="21">
        <v>3</v>
      </c>
      <c r="J77" s="13" t="s">
        <v>426</v>
      </c>
      <c r="K77" s="20" t="str">
        <f t="shared" si="21"/>
        <v>2021/10/25</v>
      </c>
      <c r="L77" s="40" t="str">
        <f t="shared" ca="1" si="22"/>
        <v>2年7ヵ月12日</v>
      </c>
      <c r="M77" s="15">
        <v>78</v>
      </c>
      <c r="N77" s="15">
        <v>1028</v>
      </c>
      <c r="O77" s="16">
        <f t="shared" si="15"/>
        <v>7.5875486381322951E-2</v>
      </c>
      <c r="P77" s="17">
        <v>26</v>
      </c>
      <c r="Q77" s="22">
        <f t="shared" ca="1" si="16"/>
        <v>0.81675392670157076</v>
      </c>
      <c r="R77" s="38">
        <v>1552</v>
      </c>
      <c r="S77" s="22">
        <f t="shared" ca="1" si="17"/>
        <v>48.753926701570684</v>
      </c>
      <c r="T77" s="22">
        <f t="shared" si="18"/>
        <v>59.692307692307693</v>
      </c>
      <c r="U77" s="17">
        <v>1563</v>
      </c>
      <c r="V77" s="22">
        <f t="shared" ca="1" si="19"/>
        <v>49.099476439790578</v>
      </c>
      <c r="W77" s="22">
        <f t="shared" si="20"/>
        <v>60.115384615384613</v>
      </c>
      <c r="X77" s="13"/>
    </row>
    <row r="78" spans="1:25" x14ac:dyDescent="0.4">
      <c r="A78" s="13" t="s">
        <v>110</v>
      </c>
      <c r="B78" s="13" t="s">
        <v>406</v>
      </c>
      <c r="C78" s="13" t="str">
        <f t="shared" si="12"/>
        <v>https://x.com/GiaMC_movie</v>
      </c>
      <c r="D78" s="14">
        <v>44896</v>
      </c>
      <c r="E78" s="40" t="str">
        <f t="shared" ca="1" si="13"/>
        <v>1年6ヵ月</v>
      </c>
      <c r="F78" s="18"/>
      <c r="G78" s="19" t="s">
        <v>109</v>
      </c>
      <c r="H78" s="13" t="str">
        <f t="shared" si="14"/>
        <v>https://scratch.mit.edu/users/Xx-_magic_-xX/</v>
      </c>
      <c r="I78" s="21">
        <v>3</v>
      </c>
      <c r="J78" s="13" t="s">
        <v>426</v>
      </c>
      <c r="K78" s="20" t="str">
        <f t="shared" si="21"/>
        <v>2022/06/23</v>
      </c>
      <c r="L78" s="40" t="str">
        <f t="shared" ca="1" si="22"/>
        <v>1年11ヵ月14日</v>
      </c>
      <c r="M78" s="15">
        <v>194</v>
      </c>
      <c r="N78" s="15">
        <v>523</v>
      </c>
      <c r="O78" s="16">
        <f t="shared" si="15"/>
        <v>0.37093690248565964</v>
      </c>
      <c r="P78" s="17">
        <v>29</v>
      </c>
      <c r="Q78" s="22">
        <f t="shared" ca="1" si="16"/>
        <v>1.2184873949579831</v>
      </c>
      <c r="R78" s="38">
        <v>4817</v>
      </c>
      <c r="S78" s="22">
        <f t="shared" ca="1" si="17"/>
        <v>202.39495798319328</v>
      </c>
      <c r="T78" s="22">
        <f t="shared" si="18"/>
        <v>166.10344827586206</v>
      </c>
      <c r="U78" s="17">
        <v>4169</v>
      </c>
      <c r="V78" s="22">
        <f t="shared" ca="1" si="19"/>
        <v>175.16806722689074</v>
      </c>
      <c r="W78" s="22">
        <f t="shared" si="20"/>
        <v>143.75862068965517</v>
      </c>
      <c r="X78" s="13"/>
    </row>
    <row r="79" spans="1:25" x14ac:dyDescent="0.4">
      <c r="A79" s="13" t="s">
        <v>108</v>
      </c>
      <c r="B79" s="13" t="s">
        <v>107</v>
      </c>
      <c r="C79" s="13" t="str">
        <f t="shared" si="12"/>
        <v>https://x.com/halkun19</v>
      </c>
      <c r="D79" s="14">
        <v>45047</v>
      </c>
      <c r="E79" s="40" t="str">
        <f t="shared" ca="1" si="13"/>
        <v>1年1ヵ月</v>
      </c>
      <c r="F79" s="18"/>
      <c r="G79" s="19" t="s">
        <v>106</v>
      </c>
      <c r="H79" s="13" t="str">
        <f t="shared" si="14"/>
        <v>https://scratch.mit.edu/users/harukun19/</v>
      </c>
      <c r="I79" s="21">
        <v>3</v>
      </c>
      <c r="J79" s="13" t="s">
        <v>426</v>
      </c>
      <c r="K79" s="20" t="str">
        <f t="shared" si="21"/>
        <v>2020/04/08</v>
      </c>
      <c r="L79" s="40" t="str">
        <f t="shared" ca="1" si="22"/>
        <v>4年1ヵ月29日</v>
      </c>
      <c r="M79" s="15">
        <v>99</v>
      </c>
      <c r="N79" s="15">
        <v>4063</v>
      </c>
      <c r="O79" s="16">
        <f t="shared" si="15"/>
        <v>2.436623184838789E-2</v>
      </c>
      <c r="P79" s="17">
        <v>64</v>
      </c>
      <c r="Q79" s="22">
        <f t="shared" ca="1" si="16"/>
        <v>1.2631578947368423</v>
      </c>
      <c r="R79" s="38">
        <v>2037</v>
      </c>
      <c r="S79" s="22">
        <f t="shared" ca="1" si="17"/>
        <v>40.203947368421055</v>
      </c>
      <c r="T79" s="22">
        <f t="shared" si="18"/>
        <v>31.828125</v>
      </c>
      <c r="U79" s="17">
        <v>1012</v>
      </c>
      <c r="V79" s="22">
        <f t="shared" ca="1" si="19"/>
        <v>19.973684210526315</v>
      </c>
      <c r="W79" s="22">
        <f t="shared" si="20"/>
        <v>15.8125</v>
      </c>
      <c r="X79" s="13"/>
    </row>
    <row r="80" spans="1:25" x14ac:dyDescent="0.4">
      <c r="A80" s="13" t="s">
        <v>486</v>
      </c>
      <c r="B80" s="13" t="s">
        <v>50</v>
      </c>
      <c r="C80" s="13" t="str">
        <f t="shared" si="12"/>
        <v>https://x.com/ham_mog_AviUtl</v>
      </c>
      <c r="D80" s="14">
        <v>44896</v>
      </c>
      <c r="E80" s="40" t="str">
        <f t="shared" ca="1" si="13"/>
        <v>1年6ヵ月</v>
      </c>
      <c r="F80" s="18"/>
      <c r="G80" s="19" t="s">
        <v>49</v>
      </c>
      <c r="H80" s="13" t="str">
        <f t="shared" si="14"/>
        <v>https://scratch.mit.edu/users/ham_mog/</v>
      </c>
      <c r="I80" s="21">
        <v>3</v>
      </c>
      <c r="J80" s="13" t="s">
        <v>426</v>
      </c>
      <c r="K80" s="20" t="str">
        <f t="shared" si="21"/>
        <v>2021/07/29</v>
      </c>
      <c r="L80" s="40" t="str">
        <f t="shared" ca="1" si="22"/>
        <v>2年10ヵ月8日</v>
      </c>
      <c r="M80" s="15">
        <v>657</v>
      </c>
      <c r="N80" s="15">
        <v>1407</v>
      </c>
      <c r="O80" s="16">
        <f t="shared" si="15"/>
        <v>0.46695095948827292</v>
      </c>
      <c r="P80" s="17">
        <v>64</v>
      </c>
      <c r="Q80" s="22">
        <f t="shared" ca="1" si="16"/>
        <v>1.840843720038351</v>
      </c>
      <c r="R80" s="38">
        <v>1067</v>
      </c>
      <c r="S80" s="22">
        <f t="shared" ca="1" si="17"/>
        <v>30.690316395014381</v>
      </c>
      <c r="T80" s="22">
        <f t="shared" si="18"/>
        <v>16.671875</v>
      </c>
      <c r="U80" s="17">
        <v>959</v>
      </c>
      <c r="V80" s="22">
        <f t="shared" ca="1" si="19"/>
        <v>27.583892617449663</v>
      </c>
      <c r="W80" s="22">
        <f t="shared" si="20"/>
        <v>14.984375</v>
      </c>
      <c r="X80" s="13"/>
    </row>
    <row r="81" spans="1:24" x14ac:dyDescent="0.4">
      <c r="A81" s="13" t="s">
        <v>100</v>
      </c>
      <c r="B81" s="13" t="s">
        <v>408</v>
      </c>
      <c r="C81" s="13" t="str">
        <f t="shared" si="12"/>
        <v>https://x.com/HCMS_Spring</v>
      </c>
      <c r="D81" s="14">
        <v>45108</v>
      </c>
      <c r="E81" s="40" t="str">
        <f t="shared" ca="1" si="13"/>
        <v>0年11ヵ月</v>
      </c>
      <c r="F81" s="18"/>
      <c r="G81" s="19" t="s">
        <v>99</v>
      </c>
      <c r="H81" s="13" t="str">
        <f t="shared" si="14"/>
        <v>https://scratch.mit.edu/users/SpringFX/</v>
      </c>
      <c r="I81" s="21">
        <v>3</v>
      </c>
      <c r="J81" s="13" t="s">
        <v>426</v>
      </c>
      <c r="K81" s="20" t="str">
        <f t="shared" si="21"/>
        <v>2022/10/19</v>
      </c>
      <c r="L81" s="40" t="str">
        <f t="shared" ca="1" si="22"/>
        <v>1年7ヵ月18日</v>
      </c>
      <c r="M81" s="15">
        <v>7</v>
      </c>
      <c r="N81" s="15">
        <v>123</v>
      </c>
      <c r="O81" s="16">
        <f t="shared" si="15"/>
        <v>5.6910569105691054E-2</v>
      </c>
      <c r="P81" s="17">
        <v>26</v>
      </c>
      <c r="Q81" s="22">
        <f t="shared" ca="1" si="16"/>
        <v>1.3087248322147651</v>
      </c>
      <c r="R81" s="38">
        <v>1059</v>
      </c>
      <c r="S81" s="22">
        <f t="shared" ca="1" si="17"/>
        <v>53.305369127516776</v>
      </c>
      <c r="T81" s="22">
        <f t="shared" si="18"/>
        <v>40.730769230769234</v>
      </c>
      <c r="U81" s="17">
        <v>760</v>
      </c>
      <c r="V81" s="22">
        <f t="shared" ca="1" si="19"/>
        <v>38.255033557046978</v>
      </c>
      <c r="W81" s="22">
        <f t="shared" si="20"/>
        <v>29.23076923076923</v>
      </c>
      <c r="X81" s="13"/>
    </row>
    <row r="82" spans="1:24" x14ac:dyDescent="0.4">
      <c r="A82" s="13" t="s">
        <v>496</v>
      </c>
      <c r="B82" s="13" t="s">
        <v>497</v>
      </c>
      <c r="C82" s="13" t="str">
        <f t="shared" si="12"/>
        <v>https://x.com/hidorus_creator</v>
      </c>
      <c r="D82" s="14">
        <v>45017</v>
      </c>
      <c r="E82" s="21" t="str">
        <f t="shared" ca="1" si="13"/>
        <v>1年2ヵ月</v>
      </c>
      <c r="F82" s="18"/>
      <c r="G82" s="19" t="s">
        <v>498</v>
      </c>
      <c r="H82" s="13" t="str">
        <f t="shared" si="14"/>
        <v>https://scratch.mit.edu/users/H1D0RUS_218/</v>
      </c>
      <c r="I82" s="21">
        <v>3</v>
      </c>
      <c r="J82" s="13" t="s">
        <v>426</v>
      </c>
      <c r="K82" s="20" t="str">
        <f t="shared" si="21"/>
        <v>2023/10/07</v>
      </c>
      <c r="L82" s="40" t="str">
        <f ca="1">DATEDIF($K82,TODAY(),"y")&amp;"年"&amp;DATEDIF($K82,TODAY(),"YM")&amp;"ヵ月"&amp;DATEDIF($K82,TODAY(),"md")&amp;"日"</f>
        <v>0年7ヵ月30日</v>
      </c>
      <c r="M82" s="15">
        <v>0</v>
      </c>
      <c r="N82" s="15">
        <v>11</v>
      </c>
      <c r="O82" s="16">
        <f t="shared" si="15"/>
        <v>0</v>
      </c>
      <c r="P82" s="17">
        <v>0</v>
      </c>
      <c r="Q82" s="22">
        <f t="shared" ca="1" si="16"/>
        <v>0</v>
      </c>
      <c r="R82" s="38">
        <v>0</v>
      </c>
      <c r="S82" s="22">
        <f t="shared" ca="1" si="17"/>
        <v>0</v>
      </c>
      <c r="T82" s="22">
        <f t="shared" si="18"/>
        <v>0</v>
      </c>
      <c r="U82" s="17">
        <v>0</v>
      </c>
      <c r="V82" s="22">
        <f t="shared" ca="1" si="19"/>
        <v>0</v>
      </c>
      <c r="W82" s="22">
        <f t="shared" si="20"/>
        <v>0</v>
      </c>
      <c r="X82" s="13"/>
    </row>
    <row r="83" spans="1:24" x14ac:dyDescent="0.4">
      <c r="A83" s="13" t="s">
        <v>98</v>
      </c>
      <c r="B83" s="13" t="s">
        <v>97</v>
      </c>
      <c r="C83" s="13" t="str">
        <f t="shared" si="12"/>
        <v>https://x.com/himanatamao</v>
      </c>
      <c r="D83" s="14">
        <v>45139</v>
      </c>
      <c r="E83" s="40" t="str">
        <f t="shared" ca="1" si="13"/>
        <v>0年10ヵ月</v>
      </c>
      <c r="F83" s="18"/>
      <c r="G83" s="19" t="s">
        <v>96</v>
      </c>
      <c r="H83" s="13" t="str">
        <f t="shared" si="14"/>
        <v>https://scratch.mit.edu/users/Tamao48/</v>
      </c>
      <c r="I83" s="21">
        <v>3</v>
      </c>
      <c r="J83" s="13" t="s">
        <v>426</v>
      </c>
      <c r="K83" s="20" t="str">
        <f t="shared" si="21"/>
        <v>2023/09/24</v>
      </c>
      <c r="L83" s="40" t="str">
        <f t="shared" ca="1" si="22"/>
        <v>0年8ヵ月13日</v>
      </c>
      <c r="M83" s="15">
        <v>102</v>
      </c>
      <c r="N83" s="15">
        <v>72</v>
      </c>
      <c r="O83" s="16">
        <f t="shared" si="15"/>
        <v>1.4166666666666667</v>
      </c>
      <c r="P83" s="17">
        <v>7</v>
      </c>
      <c r="Q83" s="22">
        <f t="shared" ca="1" si="16"/>
        <v>0.8203125</v>
      </c>
      <c r="R83" s="38">
        <v>922</v>
      </c>
      <c r="S83" s="22">
        <f t="shared" ca="1" si="17"/>
        <v>108.046875</v>
      </c>
      <c r="T83" s="22">
        <f t="shared" si="18"/>
        <v>131.71428571428572</v>
      </c>
      <c r="U83" s="17">
        <v>865</v>
      </c>
      <c r="V83" s="22">
        <f t="shared" ca="1" si="19"/>
        <v>101.3671875</v>
      </c>
      <c r="W83" s="22">
        <f t="shared" si="20"/>
        <v>123.57142857142857</v>
      </c>
      <c r="X83" s="13"/>
    </row>
    <row r="84" spans="1:24" x14ac:dyDescent="0.4">
      <c r="A84" s="13" t="s">
        <v>477</v>
      </c>
      <c r="B84" s="13" t="s">
        <v>478</v>
      </c>
      <c r="C84" s="13" t="str">
        <f t="shared" si="12"/>
        <v>https://x.com/infhsv</v>
      </c>
      <c r="D84" s="14">
        <v>45078</v>
      </c>
      <c r="E84" s="21" t="str">
        <f t="shared" ca="1" si="13"/>
        <v>1年0ヵ月</v>
      </c>
      <c r="F84" s="18"/>
      <c r="G84" s="19" t="s">
        <v>479</v>
      </c>
      <c r="H84" s="13" t="str">
        <f t="shared" si="14"/>
        <v>https://scratch.mit.edu/users/infinitto/</v>
      </c>
      <c r="I84" s="21">
        <v>3</v>
      </c>
      <c r="J84" s="13" t="s">
        <v>426</v>
      </c>
      <c r="K84" s="20" t="str">
        <f t="shared" si="21"/>
        <v>2021/07/26</v>
      </c>
      <c r="L84" s="40" t="str">
        <f t="shared" ca="1" si="22"/>
        <v>2年10ヵ月11日</v>
      </c>
      <c r="M84" s="15">
        <v>34</v>
      </c>
      <c r="N84" s="15">
        <v>689</v>
      </c>
      <c r="O84" s="16">
        <f t="shared" si="15"/>
        <v>4.9346879535558781E-2</v>
      </c>
      <c r="P84" s="17">
        <v>23</v>
      </c>
      <c r="Q84" s="22">
        <f t="shared" ca="1" si="16"/>
        <v>0.65965583173996178</v>
      </c>
      <c r="R84" s="38">
        <v>3815</v>
      </c>
      <c r="S84" s="22">
        <f t="shared" ca="1" si="17"/>
        <v>109.41682600382408</v>
      </c>
      <c r="T84" s="22">
        <f t="shared" si="18"/>
        <v>165.86956521739131</v>
      </c>
      <c r="U84" s="17">
        <v>3092</v>
      </c>
      <c r="V84" s="22">
        <f t="shared" ca="1" si="19"/>
        <v>88.680688336520078</v>
      </c>
      <c r="W84" s="22">
        <f t="shared" si="20"/>
        <v>134.43478260869566</v>
      </c>
      <c r="X84" s="13"/>
    </row>
    <row r="85" spans="1:24" x14ac:dyDescent="0.4">
      <c r="A85" s="13" t="s">
        <v>198</v>
      </c>
      <c r="B85" s="13" t="s">
        <v>199</v>
      </c>
      <c r="C85" s="13" t="str">
        <f t="shared" si="12"/>
        <v>https://x.com/JPn_zyobu</v>
      </c>
      <c r="D85" s="14">
        <v>45383</v>
      </c>
      <c r="E85" s="40" t="str">
        <f t="shared" ca="1" si="13"/>
        <v>0年2ヵ月</v>
      </c>
      <c r="F85" s="18"/>
      <c r="G85" s="19" t="s">
        <v>304</v>
      </c>
      <c r="H85" s="13" t="str">
        <f t="shared" si="14"/>
        <v>https://scratch.mit.edu/users/zyobu/</v>
      </c>
      <c r="I85" s="21">
        <v>3</v>
      </c>
      <c r="J85" s="13" t="s">
        <v>426</v>
      </c>
      <c r="K85" s="20" t="str">
        <f t="shared" si="21"/>
        <v>2021/10/05</v>
      </c>
      <c r="L85" s="40" t="str">
        <f t="shared" ca="1" si="22"/>
        <v>2年8ヵ月1日</v>
      </c>
      <c r="M85" s="15">
        <v>282</v>
      </c>
      <c r="N85" s="15">
        <v>944</v>
      </c>
      <c r="O85" s="16">
        <f t="shared" si="15"/>
        <v>0.29872881355932202</v>
      </c>
      <c r="P85" s="17">
        <v>434</v>
      </c>
      <c r="Q85" s="22">
        <f t="shared" ca="1" si="16"/>
        <v>13.353846153846154</v>
      </c>
      <c r="R85" s="38">
        <v>7550</v>
      </c>
      <c r="S85" s="22">
        <f t="shared" ca="1" si="17"/>
        <v>232.30769230769232</v>
      </c>
      <c r="T85" s="22">
        <f t="shared" si="18"/>
        <v>17.396313364055299</v>
      </c>
      <c r="U85" s="17">
        <v>5982</v>
      </c>
      <c r="V85" s="22">
        <f t="shared" ca="1" si="19"/>
        <v>184.06153846153848</v>
      </c>
      <c r="W85" s="22">
        <f t="shared" si="20"/>
        <v>13.783410138248849</v>
      </c>
      <c r="X85" s="13"/>
    </row>
    <row r="86" spans="1:24" x14ac:dyDescent="0.4">
      <c r="A86" s="13" t="s">
        <v>200</v>
      </c>
      <c r="B86" s="13" t="s">
        <v>439</v>
      </c>
      <c r="C86" s="13" t="str">
        <f t="shared" si="12"/>
        <v>https://x.com/Kainoko_126</v>
      </c>
      <c r="D86" s="14">
        <v>45078</v>
      </c>
      <c r="E86" s="40" t="str">
        <f t="shared" ca="1" si="13"/>
        <v>1年0ヵ月</v>
      </c>
      <c r="F86" s="18" t="s">
        <v>16</v>
      </c>
      <c r="G86" s="19" t="s">
        <v>305</v>
      </c>
      <c r="H86" s="13" t="str">
        <f t="shared" si="14"/>
        <v>https://scratch.mit.edu/users/kainoko219444/</v>
      </c>
      <c r="I86" s="21">
        <v>3</v>
      </c>
      <c r="J86" s="13" t="s">
        <v>426</v>
      </c>
      <c r="K86" s="20" t="str">
        <f t="shared" si="21"/>
        <v>2021/02/15</v>
      </c>
      <c r="L86" s="40" t="str">
        <f t="shared" ca="1" si="22"/>
        <v>3年3ヵ月22日</v>
      </c>
      <c r="M86" s="15">
        <v>329</v>
      </c>
      <c r="N86" s="15">
        <v>792</v>
      </c>
      <c r="O86" s="16">
        <f t="shared" si="15"/>
        <v>0.41540404040404039</v>
      </c>
      <c r="P86" s="17">
        <v>154</v>
      </c>
      <c r="Q86" s="22">
        <f t="shared" ca="1" si="16"/>
        <v>3.8276719138359567</v>
      </c>
      <c r="R86" s="38">
        <v>541</v>
      </c>
      <c r="S86" s="22">
        <f t="shared" ca="1" si="17"/>
        <v>13.446561723280862</v>
      </c>
      <c r="T86" s="22">
        <f t="shared" si="18"/>
        <v>3.5129870129870131</v>
      </c>
      <c r="U86" s="17">
        <v>474</v>
      </c>
      <c r="V86" s="22">
        <f t="shared" ca="1" si="19"/>
        <v>11.781275890637945</v>
      </c>
      <c r="W86" s="22">
        <f t="shared" si="20"/>
        <v>3.0779220779220777</v>
      </c>
      <c r="X86" s="13"/>
    </row>
    <row r="87" spans="1:24" x14ac:dyDescent="0.4">
      <c r="A87" s="13" t="s">
        <v>526</v>
      </c>
      <c r="B87" s="13" t="s">
        <v>527</v>
      </c>
      <c r="C87" s="13" t="str">
        <f t="shared" si="12"/>
        <v>https://x.com/kaneoFX_</v>
      </c>
      <c r="D87" s="14">
        <v>44927</v>
      </c>
      <c r="E87" s="21" t="str">
        <f t="shared" ca="1" si="13"/>
        <v>1年5ヵ月</v>
      </c>
      <c r="F87" s="18"/>
      <c r="G87" s="19" t="s">
        <v>528</v>
      </c>
      <c r="H87" s="13" t="str">
        <f t="shared" si="14"/>
        <v>https://scratch.mit.edu/users/-kaneofx-/</v>
      </c>
      <c r="I87" s="21">
        <v>3</v>
      </c>
      <c r="J87" s="13" t="s">
        <v>426</v>
      </c>
      <c r="K87" s="20" t="str">
        <f t="shared" si="21"/>
        <v>2022/03/30</v>
      </c>
      <c r="L87" s="40" t="str">
        <f t="shared" ca="1" si="22"/>
        <v>2年2ヵ月7日</v>
      </c>
      <c r="M87" s="15">
        <v>167</v>
      </c>
      <c r="N87" s="15">
        <v>188</v>
      </c>
      <c r="O87" s="16">
        <f t="shared" si="15"/>
        <v>0.88829787234042556</v>
      </c>
      <c r="P87" s="17">
        <v>118</v>
      </c>
      <c r="Q87" s="22">
        <f t="shared" ca="1" si="16"/>
        <v>4.4305381727158952</v>
      </c>
      <c r="R87" s="38">
        <v>1896</v>
      </c>
      <c r="S87" s="22">
        <f t="shared" ca="1" si="17"/>
        <v>71.188986232790995</v>
      </c>
      <c r="T87" s="22">
        <f t="shared" si="18"/>
        <v>16.067796610169491</v>
      </c>
      <c r="U87" s="17">
        <v>1849</v>
      </c>
      <c r="V87" s="22">
        <f t="shared" ca="1" si="19"/>
        <v>69.424280350438053</v>
      </c>
      <c r="W87" s="22">
        <f t="shared" si="20"/>
        <v>15.669491525423728</v>
      </c>
      <c r="X87" s="13"/>
    </row>
    <row r="88" spans="1:24" x14ac:dyDescent="0.4">
      <c r="A88" s="13" t="s">
        <v>520</v>
      </c>
      <c r="B88" s="13" t="s">
        <v>521</v>
      </c>
      <c r="C88" s="13" t="str">
        <f t="shared" si="12"/>
        <v>https://x.com/keityan_eizou</v>
      </c>
      <c r="D88" s="14">
        <v>45047</v>
      </c>
      <c r="E88" s="21" t="str">
        <f t="shared" ca="1" si="13"/>
        <v>1年1ヵ月</v>
      </c>
      <c r="F88" s="18"/>
      <c r="G88" s="19" t="s">
        <v>522</v>
      </c>
      <c r="H88" s="13" t="str">
        <f t="shared" si="14"/>
        <v>https://scratch.mit.edu/users/k-sk17/</v>
      </c>
      <c r="I88" s="21">
        <v>3</v>
      </c>
      <c r="J88" s="13" t="s">
        <v>426</v>
      </c>
      <c r="K88" s="20" t="str">
        <f t="shared" si="21"/>
        <v>2018/07/20</v>
      </c>
      <c r="L88" s="40" t="str">
        <f t="shared" ca="1" si="22"/>
        <v>5年10ヵ月17日</v>
      </c>
      <c r="M88" s="15">
        <v>2</v>
      </c>
      <c r="N88" s="15">
        <v>536</v>
      </c>
      <c r="O88" s="16">
        <f t="shared" si="15"/>
        <v>3.7313432835820895E-3</v>
      </c>
      <c r="P88" s="17">
        <v>5</v>
      </c>
      <c r="Q88" s="22">
        <f t="shared" ca="1" si="16"/>
        <v>6.9832402234636881E-2</v>
      </c>
      <c r="R88" s="38">
        <v>240</v>
      </c>
      <c r="S88" s="22">
        <f t="shared" ca="1" si="17"/>
        <v>3.3519553072625703</v>
      </c>
      <c r="T88" s="22">
        <f t="shared" si="18"/>
        <v>48</v>
      </c>
      <c r="U88" s="17">
        <v>56</v>
      </c>
      <c r="V88" s="22">
        <f t="shared" ca="1" si="19"/>
        <v>0.78212290502793302</v>
      </c>
      <c r="W88" s="22">
        <f t="shared" si="20"/>
        <v>11.2</v>
      </c>
      <c r="X88" s="13"/>
    </row>
    <row r="89" spans="1:24" x14ac:dyDescent="0.4">
      <c r="A89" s="13" t="s">
        <v>206</v>
      </c>
      <c r="B89" s="13" t="s">
        <v>148</v>
      </c>
      <c r="C89" s="13" t="str">
        <f t="shared" si="12"/>
        <v>https://x.com/keltainen_omena</v>
      </c>
      <c r="D89" s="14">
        <v>45352</v>
      </c>
      <c r="E89" s="40" t="str">
        <f t="shared" ca="1" si="13"/>
        <v>0年3ヵ月</v>
      </c>
      <c r="F89" s="18"/>
      <c r="G89" s="19" t="s">
        <v>148</v>
      </c>
      <c r="H89" s="13" t="str">
        <f t="shared" si="14"/>
        <v>https://scratch.mit.edu/users/Yellow_Apple/</v>
      </c>
      <c r="I89" s="21">
        <v>3</v>
      </c>
      <c r="J89" s="13" t="s">
        <v>426</v>
      </c>
      <c r="K89" s="20" t="str">
        <f t="shared" si="21"/>
        <v>2019/10/19</v>
      </c>
      <c r="L89" s="40" t="str">
        <f t="shared" ca="1" si="22"/>
        <v>4年7ヵ月18日</v>
      </c>
      <c r="M89" s="15">
        <v>4</v>
      </c>
      <c r="N89" s="15">
        <v>1587</v>
      </c>
      <c r="O89" s="16">
        <f t="shared" si="15"/>
        <v>2.520478890989288E-3</v>
      </c>
      <c r="P89" s="17">
        <v>221</v>
      </c>
      <c r="Q89" s="22">
        <f t="shared" ca="1" si="16"/>
        <v>3.918439716312057</v>
      </c>
      <c r="R89" s="38">
        <v>1036</v>
      </c>
      <c r="S89" s="22">
        <f t="shared" ca="1" si="17"/>
        <v>18.368794326241137</v>
      </c>
      <c r="T89" s="22">
        <f t="shared" si="18"/>
        <v>4.6877828054298645</v>
      </c>
      <c r="U89" s="17">
        <v>1042</v>
      </c>
      <c r="V89" s="22">
        <f t="shared" ca="1" si="19"/>
        <v>18.475177304964539</v>
      </c>
      <c r="W89" s="22">
        <f t="shared" si="20"/>
        <v>4.7149321266968327</v>
      </c>
      <c r="X89" s="13"/>
    </row>
    <row r="90" spans="1:24" x14ac:dyDescent="0.4">
      <c r="A90" s="13" t="s">
        <v>518</v>
      </c>
      <c r="B90" s="13" t="s">
        <v>519</v>
      </c>
      <c r="C90" s="13" t="str">
        <f t="shared" si="12"/>
        <v>https://x.com/kobaDesignz</v>
      </c>
      <c r="D90" s="14">
        <v>45383</v>
      </c>
      <c r="E90" s="21" t="str">
        <f t="shared" ca="1" si="13"/>
        <v>0年2ヵ月</v>
      </c>
      <c r="F90" s="18"/>
      <c r="G90" s="19" t="s">
        <v>519</v>
      </c>
      <c r="H90" s="13" t="str">
        <f t="shared" si="14"/>
        <v>https://scratch.mit.edu/users/kobajin/</v>
      </c>
      <c r="I90" s="21">
        <v>3</v>
      </c>
      <c r="J90" s="13" t="s">
        <v>426</v>
      </c>
      <c r="K90" s="20" t="str">
        <f t="shared" si="21"/>
        <v>2022/07/01</v>
      </c>
      <c r="L90" s="40" t="str">
        <f t="shared" ca="1" si="22"/>
        <v>1年11ヵ月5日</v>
      </c>
      <c r="M90" s="15">
        <v>37</v>
      </c>
      <c r="N90" s="15">
        <v>967</v>
      </c>
      <c r="O90" s="16">
        <f t="shared" si="15"/>
        <v>3.8262668045501554E-2</v>
      </c>
      <c r="P90" s="17">
        <v>72</v>
      </c>
      <c r="Q90" s="22">
        <f t="shared" ca="1" si="16"/>
        <v>3.0594900849858355</v>
      </c>
      <c r="R90" s="38">
        <v>12</v>
      </c>
      <c r="S90" s="22">
        <f t="shared" ca="1" si="17"/>
        <v>0.50991501416430596</v>
      </c>
      <c r="T90" s="22">
        <f t="shared" si="18"/>
        <v>0.16666666666666666</v>
      </c>
      <c r="U90" s="17">
        <v>9</v>
      </c>
      <c r="V90" s="22">
        <f t="shared" ca="1" si="19"/>
        <v>0.38243626062322944</v>
      </c>
      <c r="W90" s="22">
        <f t="shared" si="20"/>
        <v>0.125</v>
      </c>
      <c r="X90" s="13"/>
    </row>
    <row r="91" spans="1:24" x14ac:dyDescent="0.4">
      <c r="A91" s="13" t="s">
        <v>83</v>
      </c>
      <c r="B91" s="13" t="s">
        <v>82</v>
      </c>
      <c r="C91" s="13" t="str">
        <f t="shared" si="12"/>
        <v>https://x.com/Kumanomikun_</v>
      </c>
      <c r="D91" s="14">
        <v>44805</v>
      </c>
      <c r="E91" s="40" t="str">
        <f t="shared" ca="1" si="13"/>
        <v>1年9ヵ月</v>
      </c>
      <c r="F91" s="18"/>
      <c r="G91" s="19" t="s">
        <v>15</v>
      </c>
      <c r="H91" s="13" t="str">
        <f t="shared" si="14"/>
        <v>https://scratch.mit.edu/users/-Jupiterfx/</v>
      </c>
      <c r="I91" s="21">
        <v>3</v>
      </c>
      <c r="J91" s="13" t="s">
        <v>426</v>
      </c>
      <c r="K91" s="20" t="str">
        <f t="shared" si="21"/>
        <v>2023/03/14</v>
      </c>
      <c r="L91" s="40" t="str">
        <f t="shared" ca="1" si="22"/>
        <v>1年2ヵ月23日</v>
      </c>
      <c r="M91" s="15">
        <v>60</v>
      </c>
      <c r="N91" s="15">
        <v>1165</v>
      </c>
      <c r="O91" s="16">
        <f t="shared" si="15"/>
        <v>5.1502145922746781E-2</v>
      </c>
      <c r="P91" s="17">
        <v>17</v>
      </c>
      <c r="Q91" s="22">
        <f t="shared" ca="1" si="16"/>
        <v>1.1333333333333333</v>
      </c>
      <c r="R91" s="38">
        <v>1088</v>
      </c>
      <c r="S91" s="22">
        <f t="shared" ca="1" si="17"/>
        <v>72.533333333333331</v>
      </c>
      <c r="T91" s="22">
        <f t="shared" si="18"/>
        <v>64</v>
      </c>
      <c r="U91" s="17">
        <v>784</v>
      </c>
      <c r="V91" s="22">
        <f t="shared" ca="1" si="19"/>
        <v>52.266666666666666</v>
      </c>
      <c r="W91" s="22">
        <f t="shared" si="20"/>
        <v>46.117647058823529</v>
      </c>
      <c r="X91" s="13"/>
    </row>
    <row r="92" spans="1:24" x14ac:dyDescent="0.4">
      <c r="A92" s="13" t="s">
        <v>150</v>
      </c>
      <c r="B92" s="13" t="s">
        <v>211</v>
      </c>
      <c r="C92" s="13" t="str">
        <f t="shared" si="12"/>
        <v>https://x.com/letb_tw</v>
      </c>
      <c r="D92" s="14">
        <v>44621</v>
      </c>
      <c r="E92" s="40" t="str">
        <f t="shared" ca="1" si="13"/>
        <v>2年3ヵ月</v>
      </c>
      <c r="F92" s="18"/>
      <c r="G92" s="19" t="s">
        <v>311</v>
      </c>
      <c r="H92" s="13" t="str">
        <f t="shared" si="14"/>
        <v>https://scratch.mit.edu/users/LetsBurger/</v>
      </c>
      <c r="I92" s="21">
        <v>3</v>
      </c>
      <c r="J92" s="13" t="s">
        <v>426</v>
      </c>
      <c r="K92" s="20" t="str">
        <f t="shared" si="21"/>
        <v>2020/05/14</v>
      </c>
      <c r="L92" s="40" t="str">
        <f t="shared" ca="1" si="22"/>
        <v>4年0ヵ月23日</v>
      </c>
      <c r="M92" s="15">
        <v>60</v>
      </c>
      <c r="N92" s="15">
        <v>1567</v>
      </c>
      <c r="O92" s="16">
        <f t="shared" si="15"/>
        <v>3.8289725590299938E-2</v>
      </c>
      <c r="P92" s="17">
        <v>89</v>
      </c>
      <c r="Q92" s="22">
        <f t="shared" ca="1" si="16"/>
        <v>1.7991913746630728</v>
      </c>
      <c r="R92" s="38">
        <v>1317</v>
      </c>
      <c r="S92" s="22">
        <f t="shared" ca="1" si="17"/>
        <v>26.623989218328841</v>
      </c>
      <c r="T92" s="22">
        <f t="shared" si="18"/>
        <v>14.797752808988765</v>
      </c>
      <c r="U92" s="17">
        <v>471</v>
      </c>
      <c r="V92" s="22">
        <f t="shared" ca="1" si="19"/>
        <v>9.5215633423180588</v>
      </c>
      <c r="W92" s="22">
        <f t="shared" si="20"/>
        <v>5.2921348314606744</v>
      </c>
      <c r="X92" s="13"/>
    </row>
    <row r="93" spans="1:24" x14ac:dyDescent="0.4">
      <c r="A93" s="13" t="s">
        <v>418</v>
      </c>
      <c r="B93" s="13" t="s">
        <v>419</v>
      </c>
      <c r="C93" s="13" t="str">
        <f t="shared" si="12"/>
        <v>https://x.com/LightArtz_utl</v>
      </c>
      <c r="D93" s="14">
        <v>45323</v>
      </c>
      <c r="E93" s="40" t="str">
        <f t="shared" ca="1" si="13"/>
        <v>0年4ヵ月</v>
      </c>
      <c r="F93" s="18"/>
      <c r="G93" s="19" t="s">
        <v>81</v>
      </c>
      <c r="H93" s="13" t="str">
        <f t="shared" si="14"/>
        <v>https://scratch.mit.edu/users/-LightArtz-/</v>
      </c>
      <c r="I93" s="21">
        <v>3</v>
      </c>
      <c r="J93" s="13" t="s">
        <v>426</v>
      </c>
      <c r="K93" s="20" t="str">
        <f t="shared" si="21"/>
        <v>2022/07/21</v>
      </c>
      <c r="L93" s="40" t="str">
        <f t="shared" ca="1" si="22"/>
        <v>1年10ヵ月16日</v>
      </c>
      <c r="M93" s="15">
        <v>104</v>
      </c>
      <c r="N93" s="15">
        <v>240</v>
      </c>
      <c r="O93" s="16">
        <f t="shared" si="15"/>
        <v>0.43333333333333335</v>
      </c>
      <c r="P93" s="17">
        <v>33</v>
      </c>
      <c r="Q93" s="22">
        <f t="shared" ca="1" si="16"/>
        <v>1.4431486880466473</v>
      </c>
      <c r="R93" s="38">
        <v>543</v>
      </c>
      <c r="S93" s="22">
        <f t="shared" ca="1" si="17"/>
        <v>23.746355685131196</v>
      </c>
      <c r="T93" s="22">
        <f t="shared" si="18"/>
        <v>16.454545454545453</v>
      </c>
      <c r="U93" s="17">
        <v>545</v>
      </c>
      <c r="V93" s="22">
        <f t="shared" ca="1" si="19"/>
        <v>23.833819241982507</v>
      </c>
      <c r="W93" s="22">
        <f t="shared" si="20"/>
        <v>16.515151515151516</v>
      </c>
      <c r="X93" s="13"/>
    </row>
    <row r="94" spans="1:24" x14ac:dyDescent="0.4">
      <c r="A94" s="13" t="s">
        <v>217</v>
      </c>
      <c r="B94" s="13" t="s">
        <v>218</v>
      </c>
      <c r="C94" s="13" t="str">
        <f t="shared" si="12"/>
        <v>https://x.com/MatchaGemes_</v>
      </c>
      <c r="D94" s="14">
        <v>44866</v>
      </c>
      <c r="E94" s="40" t="str">
        <f t="shared" ca="1" si="13"/>
        <v>1年7ヵ月</v>
      </c>
      <c r="F94" s="18"/>
      <c r="G94" s="19" t="s">
        <v>217</v>
      </c>
      <c r="H94" s="13" t="str">
        <f t="shared" si="14"/>
        <v>https://scratch.mit.edu/users/MatchaGemes_/</v>
      </c>
      <c r="I94" s="21">
        <v>3</v>
      </c>
      <c r="J94" s="13" t="s">
        <v>426</v>
      </c>
      <c r="K94" s="20" t="str">
        <f t="shared" si="21"/>
        <v>2021/09/26</v>
      </c>
      <c r="L94" s="40" t="str">
        <f t="shared" ca="1" si="22"/>
        <v>2年8ヵ月11日</v>
      </c>
      <c r="M94" s="15">
        <v>12</v>
      </c>
      <c r="N94" s="15">
        <v>771</v>
      </c>
      <c r="O94" s="16">
        <f t="shared" si="15"/>
        <v>1.556420233463035E-2</v>
      </c>
      <c r="P94" s="17">
        <v>14</v>
      </c>
      <c r="Q94" s="22">
        <f t="shared" ca="1" si="16"/>
        <v>0.42682926829268297</v>
      </c>
      <c r="R94" s="38">
        <v>608</v>
      </c>
      <c r="S94" s="22">
        <f t="shared" ca="1" si="17"/>
        <v>18.536585365853661</v>
      </c>
      <c r="T94" s="22">
        <f t="shared" si="18"/>
        <v>43.428571428571431</v>
      </c>
      <c r="U94" s="17">
        <v>593</v>
      </c>
      <c r="V94" s="22">
        <f t="shared" ca="1" si="19"/>
        <v>18.079268292682929</v>
      </c>
      <c r="W94" s="22">
        <f t="shared" si="20"/>
        <v>42.357142857142854</v>
      </c>
      <c r="X94" s="13"/>
    </row>
    <row r="95" spans="1:24" x14ac:dyDescent="0.4">
      <c r="A95" s="13" t="s">
        <v>11</v>
      </c>
      <c r="B95" s="13" t="s">
        <v>74</v>
      </c>
      <c r="C95" s="13" t="str">
        <f t="shared" si="12"/>
        <v>https://x.com/Mayssh_01</v>
      </c>
      <c r="D95" s="14">
        <v>45231</v>
      </c>
      <c r="E95" s="40" t="str">
        <f t="shared" ca="1" si="13"/>
        <v>0年7ヵ月</v>
      </c>
      <c r="F95" s="18"/>
      <c r="G95" s="19" t="s">
        <v>12</v>
      </c>
      <c r="H95" s="13" t="str">
        <f t="shared" si="14"/>
        <v>https://scratch.mit.edu/users/mayssh_01/</v>
      </c>
      <c r="I95" s="21">
        <v>3</v>
      </c>
      <c r="J95" s="13" t="s">
        <v>426</v>
      </c>
      <c r="K95" s="20" t="str">
        <f t="shared" si="21"/>
        <v>2024/03/15</v>
      </c>
      <c r="L95" s="40" t="str">
        <f t="shared" ca="1" si="22"/>
        <v>0年2ヵ月22日</v>
      </c>
      <c r="M95" s="15">
        <v>8</v>
      </c>
      <c r="N95" s="15">
        <v>4</v>
      </c>
      <c r="O95" s="16">
        <f t="shared" si="15"/>
        <v>2</v>
      </c>
      <c r="P95" s="17">
        <v>1</v>
      </c>
      <c r="Q95" s="22">
        <f t="shared" ca="1" si="16"/>
        <v>0.36144578313253012</v>
      </c>
      <c r="R95" s="38">
        <v>36</v>
      </c>
      <c r="S95" s="22">
        <f t="shared" ca="1" si="17"/>
        <v>13.012048192771084</v>
      </c>
      <c r="T95" s="22">
        <f t="shared" si="18"/>
        <v>36</v>
      </c>
      <c r="U95" s="17">
        <v>17</v>
      </c>
      <c r="V95" s="22">
        <f t="shared" ca="1" si="19"/>
        <v>6.1445783132530121</v>
      </c>
      <c r="W95" s="22">
        <f t="shared" si="20"/>
        <v>17</v>
      </c>
      <c r="X95" s="13"/>
    </row>
    <row r="96" spans="1:24" x14ac:dyDescent="0.4">
      <c r="A96" s="13" t="s">
        <v>219</v>
      </c>
      <c r="B96" s="13" t="s">
        <v>220</v>
      </c>
      <c r="C96" s="13" t="str">
        <f t="shared" si="12"/>
        <v>https://x.com/mercuryfx_</v>
      </c>
      <c r="D96" s="14">
        <v>44593</v>
      </c>
      <c r="E96" s="40" t="str">
        <f t="shared" ca="1" si="13"/>
        <v>2年4ヵ月</v>
      </c>
      <c r="F96" s="18"/>
      <c r="G96" s="19" t="s">
        <v>315</v>
      </c>
      <c r="H96" s="13" t="str">
        <f t="shared" si="14"/>
        <v>https://scratch.mit.edu/users/pokosuke0825/</v>
      </c>
      <c r="I96" s="21">
        <v>3</v>
      </c>
      <c r="J96" s="13" t="s">
        <v>426</v>
      </c>
      <c r="K96" s="20" t="str">
        <f t="shared" si="21"/>
        <v>2020/02/23</v>
      </c>
      <c r="L96" s="40" t="str">
        <f t="shared" ca="1" si="22"/>
        <v>4年3ヵ月14日</v>
      </c>
      <c r="M96" s="15">
        <v>65</v>
      </c>
      <c r="N96" s="15">
        <v>1398</v>
      </c>
      <c r="O96" s="16">
        <f t="shared" si="15"/>
        <v>4.6494992846924176E-2</v>
      </c>
      <c r="P96" s="17">
        <v>142</v>
      </c>
      <c r="Q96" s="22">
        <f t="shared" ca="1" si="16"/>
        <v>2.7220447284345051</v>
      </c>
      <c r="R96" s="38">
        <v>1341</v>
      </c>
      <c r="S96" s="22">
        <f t="shared" ca="1" si="17"/>
        <v>25.706070287539937</v>
      </c>
      <c r="T96" s="22">
        <f t="shared" si="18"/>
        <v>9.443661971830986</v>
      </c>
      <c r="U96" s="17">
        <v>989</v>
      </c>
      <c r="V96" s="22">
        <f t="shared" ca="1" si="19"/>
        <v>18.958466453674124</v>
      </c>
      <c r="W96" s="22">
        <f t="shared" si="20"/>
        <v>6.964788732394366</v>
      </c>
      <c r="X96" s="13"/>
    </row>
    <row r="97" spans="1:24" x14ac:dyDescent="0.4">
      <c r="A97" s="13" t="s">
        <v>221</v>
      </c>
      <c r="B97" s="13" t="s">
        <v>468</v>
      </c>
      <c r="C97" s="13" t="str">
        <f t="shared" si="12"/>
        <v>https://x.com/mero_curry0213</v>
      </c>
      <c r="D97" s="14">
        <v>45170</v>
      </c>
      <c r="E97" s="40" t="str">
        <f t="shared" ca="1" si="13"/>
        <v>0年9ヵ月</v>
      </c>
      <c r="F97" s="18"/>
      <c r="G97" s="19" t="s">
        <v>316</v>
      </c>
      <c r="H97" s="13" t="str">
        <f t="shared" si="14"/>
        <v>https://scratch.mit.edu/users/Creative-18/</v>
      </c>
      <c r="I97" s="21">
        <v>3</v>
      </c>
      <c r="J97" s="13" t="s">
        <v>426</v>
      </c>
      <c r="K97" s="20" t="str">
        <f t="shared" si="21"/>
        <v>2022/11/02</v>
      </c>
      <c r="L97" s="40" t="str">
        <f t="shared" ca="1" si="22"/>
        <v>1年7ヵ月4日</v>
      </c>
      <c r="M97" s="15">
        <v>57</v>
      </c>
      <c r="N97" s="15">
        <v>549</v>
      </c>
      <c r="O97" s="16">
        <f t="shared" si="15"/>
        <v>0.10382513661202186</v>
      </c>
      <c r="P97" s="17">
        <v>21</v>
      </c>
      <c r="Q97" s="22">
        <f t="shared" ca="1" si="16"/>
        <v>1.0824742268041239</v>
      </c>
      <c r="R97" s="38">
        <v>360</v>
      </c>
      <c r="S97" s="22">
        <f t="shared" ca="1" si="17"/>
        <v>18.556701030927837</v>
      </c>
      <c r="T97" s="22">
        <f t="shared" si="18"/>
        <v>17.142857142857142</v>
      </c>
      <c r="U97" s="17">
        <v>267</v>
      </c>
      <c r="V97" s="22">
        <f t="shared" ca="1" si="19"/>
        <v>13.762886597938145</v>
      </c>
      <c r="W97" s="22">
        <f t="shared" si="20"/>
        <v>12.714285714285714</v>
      </c>
      <c r="X97" s="13"/>
    </row>
    <row r="98" spans="1:24" x14ac:dyDescent="0.4">
      <c r="A98" s="13" t="s">
        <v>222</v>
      </c>
      <c r="B98" s="13" t="s">
        <v>223</v>
      </c>
      <c r="C98" s="13" t="str">
        <f t="shared" si="12"/>
        <v>https://x.com/meronDZN</v>
      </c>
      <c r="D98" s="14">
        <v>45261</v>
      </c>
      <c r="E98" s="40" t="str">
        <f t="shared" ca="1" si="13"/>
        <v>0年6ヵ月</v>
      </c>
      <c r="F98" s="18"/>
      <c r="G98" s="19" t="s">
        <v>317</v>
      </c>
      <c r="H98" s="13" t="str">
        <f t="shared" si="14"/>
        <v>https://scratch.mit.edu/users/meron765/</v>
      </c>
      <c r="I98" s="21">
        <v>3</v>
      </c>
      <c r="J98" s="13" t="s">
        <v>426</v>
      </c>
      <c r="K98" s="20" t="str">
        <f t="shared" si="21"/>
        <v>2021/10/07</v>
      </c>
      <c r="L98" s="40" t="str">
        <f t="shared" ca="1" si="22"/>
        <v>2年7ヵ月30日</v>
      </c>
      <c r="M98" s="15">
        <v>16</v>
      </c>
      <c r="N98" s="15">
        <v>893</v>
      </c>
      <c r="O98" s="16">
        <f t="shared" si="15"/>
        <v>1.7917133258678612E-2</v>
      </c>
      <c r="P98" s="17">
        <v>33</v>
      </c>
      <c r="Q98" s="22">
        <f t="shared" ca="1" si="16"/>
        <v>1.0174717368961974</v>
      </c>
      <c r="R98" s="38">
        <v>2987</v>
      </c>
      <c r="S98" s="22">
        <f t="shared" ca="1" si="17"/>
        <v>92.096608427543686</v>
      </c>
      <c r="T98" s="22">
        <f t="shared" ref="T98:T129" si="23">IFERROR(R98/$P98,0)</f>
        <v>90.515151515151516</v>
      </c>
      <c r="U98" s="17">
        <v>2675</v>
      </c>
      <c r="V98" s="22">
        <f t="shared" ca="1" si="19"/>
        <v>82.476875642343273</v>
      </c>
      <c r="W98" s="22">
        <f t="shared" si="20"/>
        <v>81.060606060606062</v>
      </c>
      <c r="X98" s="13"/>
    </row>
    <row r="99" spans="1:24" x14ac:dyDescent="0.4">
      <c r="A99" s="13" t="s">
        <v>227</v>
      </c>
      <c r="B99" s="13" t="s">
        <v>228</v>
      </c>
      <c r="C99" s="13" t="str">
        <f t="shared" si="12"/>
        <v>https://x.com/MidPreis</v>
      </c>
      <c r="D99" s="14">
        <v>44896</v>
      </c>
      <c r="E99" s="40" t="str">
        <f t="shared" ca="1" si="13"/>
        <v>1年6ヵ月</v>
      </c>
      <c r="F99" s="18"/>
      <c r="G99" s="19" t="s">
        <v>319</v>
      </c>
      <c r="H99" s="13" t="str">
        <f t="shared" si="14"/>
        <v>https://scratch.mit.edu/users/-MidGreen-/</v>
      </c>
      <c r="I99" s="21">
        <v>3</v>
      </c>
      <c r="J99" s="13" t="s">
        <v>426</v>
      </c>
      <c r="K99" s="20" t="str">
        <f t="shared" si="21"/>
        <v>2022/05/19</v>
      </c>
      <c r="L99" s="40" t="str">
        <f t="shared" ca="1" si="22"/>
        <v>2年0ヵ月18日</v>
      </c>
      <c r="M99" s="15">
        <v>61</v>
      </c>
      <c r="N99" s="15">
        <v>650</v>
      </c>
      <c r="O99" s="16">
        <f t="shared" si="15"/>
        <v>9.3846153846153843E-2</v>
      </c>
      <c r="P99" s="17">
        <v>10</v>
      </c>
      <c r="Q99" s="22">
        <f t="shared" ca="1" si="16"/>
        <v>0.40053404539385851</v>
      </c>
      <c r="R99" s="38">
        <v>771</v>
      </c>
      <c r="S99" s="22">
        <f t="shared" ca="1" si="17"/>
        <v>30.88117489986649</v>
      </c>
      <c r="T99" s="22">
        <f t="shared" si="23"/>
        <v>77.099999999999994</v>
      </c>
      <c r="U99" s="17">
        <v>627</v>
      </c>
      <c r="V99" s="22">
        <f t="shared" ca="1" si="19"/>
        <v>25.113484646194927</v>
      </c>
      <c r="W99" s="22">
        <f t="shared" si="20"/>
        <v>62.7</v>
      </c>
      <c r="X99" s="13"/>
    </row>
    <row r="100" spans="1:24" x14ac:dyDescent="0.4">
      <c r="A100" s="13" t="s">
        <v>230</v>
      </c>
      <c r="B100" s="13" t="s">
        <v>231</v>
      </c>
      <c r="C100" s="13" t="str">
        <f t="shared" si="12"/>
        <v>https://x.com/nanakusa033</v>
      </c>
      <c r="D100" s="14">
        <v>44562</v>
      </c>
      <c r="E100" s="40" t="str">
        <f t="shared" ca="1" si="13"/>
        <v>2年5ヵ月</v>
      </c>
      <c r="F100" s="18"/>
      <c r="G100" s="19" t="s">
        <v>321</v>
      </c>
      <c r="H100" s="13" t="str">
        <f t="shared" si="14"/>
        <v>https://scratch.mit.edu/users/nanakusa03/</v>
      </c>
      <c r="I100" s="21">
        <v>3</v>
      </c>
      <c r="J100" s="13" t="s">
        <v>426</v>
      </c>
      <c r="K100" s="20" t="str">
        <f t="shared" si="21"/>
        <v>2021/07/31</v>
      </c>
      <c r="L100" s="40" t="str">
        <f t="shared" ca="1" si="22"/>
        <v>2年10ヵ月6日</v>
      </c>
      <c r="M100" s="15">
        <v>43</v>
      </c>
      <c r="N100" s="15">
        <v>1738</v>
      </c>
      <c r="O100" s="16">
        <f t="shared" si="15"/>
        <v>2.4741081703107019E-2</v>
      </c>
      <c r="P100" s="17">
        <v>44</v>
      </c>
      <c r="Q100" s="22">
        <f t="shared" ca="1" si="16"/>
        <v>1.2680115273775214</v>
      </c>
      <c r="R100" s="38">
        <v>3573</v>
      </c>
      <c r="S100" s="22">
        <f t="shared" ca="1" si="17"/>
        <v>102.96829971181555</v>
      </c>
      <c r="T100" s="22">
        <f t="shared" si="23"/>
        <v>81.204545454545453</v>
      </c>
      <c r="U100" s="17">
        <v>2892</v>
      </c>
      <c r="V100" s="22">
        <f t="shared" ca="1" si="19"/>
        <v>83.342939481268004</v>
      </c>
      <c r="W100" s="22">
        <f t="shared" si="20"/>
        <v>65.727272727272734</v>
      </c>
      <c r="X100" s="13"/>
    </row>
    <row r="101" spans="1:24" x14ac:dyDescent="0.4">
      <c r="A101" s="13" t="s">
        <v>382</v>
      </c>
      <c r="B101" s="13" t="s">
        <v>351</v>
      </c>
      <c r="C101" s="13" t="str">
        <f t="shared" si="12"/>
        <v>https://x.com/Negi3441</v>
      </c>
      <c r="D101" s="14">
        <v>45047</v>
      </c>
      <c r="E101" s="40" t="str">
        <f t="shared" ca="1" si="13"/>
        <v>1年1ヵ月</v>
      </c>
      <c r="F101" s="18"/>
      <c r="G101" s="19" t="s">
        <v>351</v>
      </c>
      <c r="H101" s="13" t="str">
        <f t="shared" si="14"/>
        <v>https://scratch.mit.edu/users/BLACK-FX/</v>
      </c>
      <c r="I101" s="21">
        <v>3</v>
      </c>
      <c r="J101" s="13" t="s">
        <v>426</v>
      </c>
      <c r="K101" s="20" t="str">
        <f t="shared" si="21"/>
        <v>2023/01/21</v>
      </c>
      <c r="L101" s="40" t="str">
        <f t="shared" ca="1" si="22"/>
        <v>1年4ヵ月16日</v>
      </c>
      <c r="M101" s="15">
        <v>302</v>
      </c>
      <c r="N101" s="15">
        <v>96</v>
      </c>
      <c r="O101" s="16">
        <f t="shared" si="15"/>
        <v>3.1458333333333335</v>
      </c>
      <c r="P101" s="17">
        <v>92</v>
      </c>
      <c r="Q101" s="22">
        <f t="shared" ca="1" si="16"/>
        <v>5.4980079681274896</v>
      </c>
      <c r="R101" s="38">
        <v>147</v>
      </c>
      <c r="S101" s="22">
        <f t="shared" ca="1" si="17"/>
        <v>8.7848605577689245</v>
      </c>
      <c r="T101" s="22">
        <f t="shared" si="23"/>
        <v>1.5978260869565217</v>
      </c>
      <c r="U101" s="17">
        <v>95</v>
      </c>
      <c r="V101" s="22">
        <f t="shared" ca="1" si="19"/>
        <v>5.6772908366533859</v>
      </c>
      <c r="W101" s="22">
        <f t="shared" si="20"/>
        <v>1.0326086956521738</v>
      </c>
      <c r="X101" s="13"/>
    </row>
    <row r="102" spans="1:24" x14ac:dyDescent="0.4">
      <c r="A102" s="13" t="s">
        <v>234</v>
      </c>
      <c r="B102" s="13" t="s">
        <v>235</v>
      </c>
      <c r="C102" s="13" t="str">
        <f t="shared" si="12"/>
        <v>https://x.com/NieL829</v>
      </c>
      <c r="D102" s="14">
        <v>45108</v>
      </c>
      <c r="E102" s="40" t="str">
        <f t="shared" ca="1" si="13"/>
        <v>0年11ヵ月</v>
      </c>
      <c r="F102" s="18"/>
      <c r="G102" s="19" t="s">
        <v>235</v>
      </c>
      <c r="H102" s="13" t="str">
        <f t="shared" si="14"/>
        <v>https://scratch.mit.edu/users/NieL82/</v>
      </c>
      <c r="I102" s="21">
        <v>3</v>
      </c>
      <c r="J102" s="13" t="s">
        <v>426</v>
      </c>
      <c r="K102" s="20" t="str">
        <f t="shared" si="21"/>
        <v>2023/06/12</v>
      </c>
      <c r="L102" s="40" t="str">
        <f t="shared" ca="1" si="22"/>
        <v>0年11ヵ月25日</v>
      </c>
      <c r="M102" s="15">
        <v>26</v>
      </c>
      <c r="N102" s="15">
        <v>55</v>
      </c>
      <c r="O102" s="16">
        <f t="shared" si="15"/>
        <v>0.47272727272727272</v>
      </c>
      <c r="P102" s="17">
        <v>11</v>
      </c>
      <c r="Q102" s="22">
        <f t="shared" ca="1" si="16"/>
        <v>0.91666666666666663</v>
      </c>
      <c r="R102" s="38">
        <v>394</v>
      </c>
      <c r="S102" s="22">
        <f t="shared" ca="1" si="17"/>
        <v>32.833333333333336</v>
      </c>
      <c r="T102" s="22">
        <f t="shared" si="23"/>
        <v>35.81818181818182</v>
      </c>
      <c r="U102" s="17">
        <v>375</v>
      </c>
      <c r="V102" s="22">
        <f t="shared" ca="1" si="19"/>
        <v>31.25</v>
      </c>
      <c r="W102" s="22">
        <f t="shared" si="20"/>
        <v>34.090909090909093</v>
      </c>
      <c r="X102" s="13"/>
    </row>
    <row r="103" spans="1:24" x14ac:dyDescent="0.4">
      <c r="A103" s="13" t="s">
        <v>474</v>
      </c>
      <c r="B103" s="13" t="s">
        <v>475</v>
      </c>
      <c r="C103" s="13" t="str">
        <f t="shared" si="12"/>
        <v>https://x.com/NyahaFX</v>
      </c>
      <c r="D103" s="14">
        <v>45352</v>
      </c>
      <c r="E103" s="21" t="str">
        <f t="shared" ca="1" si="13"/>
        <v>0年3ヵ月</v>
      </c>
      <c r="F103" s="18"/>
      <c r="G103" s="19" t="s">
        <v>476</v>
      </c>
      <c r="H103" s="13" t="str">
        <f t="shared" si="14"/>
        <v>https://scratch.mit.edu/users/nyahahanohahaha/</v>
      </c>
      <c r="I103" s="21">
        <v>3</v>
      </c>
      <c r="J103" s="13" t="s">
        <v>426</v>
      </c>
      <c r="K103" s="20" t="str">
        <f t="shared" si="21"/>
        <v>2021/10/06</v>
      </c>
      <c r="L103" s="40" t="str">
        <f t="shared" ca="1" si="22"/>
        <v>2年8ヵ月0日</v>
      </c>
      <c r="M103" s="15">
        <v>270</v>
      </c>
      <c r="N103" s="15">
        <v>540</v>
      </c>
      <c r="O103" s="16">
        <f t="shared" si="15"/>
        <v>0.5</v>
      </c>
      <c r="P103" s="17">
        <v>23</v>
      </c>
      <c r="Q103" s="22">
        <f t="shared" ca="1" si="16"/>
        <v>0.70841889117043122</v>
      </c>
      <c r="R103" s="38">
        <v>1872</v>
      </c>
      <c r="S103" s="22">
        <f t="shared" ca="1" si="17"/>
        <v>57.659137577002049</v>
      </c>
      <c r="T103" s="22">
        <f t="shared" si="23"/>
        <v>81.391304347826093</v>
      </c>
      <c r="U103" s="17">
        <v>1490</v>
      </c>
      <c r="V103" s="22">
        <f t="shared" ca="1" si="19"/>
        <v>45.893223819301845</v>
      </c>
      <c r="W103" s="22">
        <f t="shared" si="20"/>
        <v>64.782608695652172</v>
      </c>
      <c r="X103" s="13"/>
    </row>
    <row r="104" spans="1:24" x14ac:dyDescent="0.4">
      <c r="A104" s="25" t="s">
        <v>61</v>
      </c>
      <c r="B104" s="13" t="s">
        <v>62</v>
      </c>
      <c r="C104" s="13" t="str">
        <f t="shared" si="12"/>
        <v>https://x.com/omowaka</v>
      </c>
      <c r="D104" s="14">
        <v>44013</v>
      </c>
      <c r="E104" s="40" t="str">
        <f t="shared" ca="1" si="13"/>
        <v>3年11ヵ月</v>
      </c>
      <c r="F104" s="18" t="s">
        <v>16</v>
      </c>
      <c r="G104" s="19" t="s">
        <v>61</v>
      </c>
      <c r="H104" s="13" t="str">
        <f t="shared" si="14"/>
        <v>https://scratch.mit.edu/users/omowaka/</v>
      </c>
      <c r="I104" s="21">
        <v>3</v>
      </c>
      <c r="J104" s="13" t="s">
        <v>426</v>
      </c>
      <c r="K104" s="20" t="str">
        <f t="shared" si="21"/>
        <v>2020/04/10</v>
      </c>
      <c r="L104" s="40" t="str">
        <f t="shared" ca="1" si="22"/>
        <v>4年1ヵ月27日</v>
      </c>
      <c r="M104" s="15">
        <v>483</v>
      </c>
      <c r="N104" s="15">
        <v>2284</v>
      </c>
      <c r="O104" s="16">
        <f t="shared" si="15"/>
        <v>0.21147110332749564</v>
      </c>
      <c r="P104" s="17">
        <v>14</v>
      </c>
      <c r="Q104" s="22">
        <f t="shared" ca="1" si="16"/>
        <v>0.27667984189723321</v>
      </c>
      <c r="R104" s="38">
        <v>1089</v>
      </c>
      <c r="S104" s="22">
        <f t="shared" ca="1" si="17"/>
        <v>21.521739130434781</v>
      </c>
      <c r="T104" s="22">
        <f t="shared" si="23"/>
        <v>77.785714285714292</v>
      </c>
      <c r="U104" s="17">
        <v>547</v>
      </c>
      <c r="V104" s="22">
        <f t="shared" ca="1" si="19"/>
        <v>10.810276679841897</v>
      </c>
      <c r="W104" s="22">
        <f t="shared" si="20"/>
        <v>39.071428571428569</v>
      </c>
      <c r="X104" s="13"/>
    </row>
    <row r="105" spans="1:24" x14ac:dyDescent="0.4">
      <c r="A105" s="13" t="s">
        <v>243</v>
      </c>
      <c r="B105" s="13" t="s">
        <v>244</v>
      </c>
      <c r="C105" s="13" t="str">
        <f t="shared" si="12"/>
        <v>https://x.com/pirates730</v>
      </c>
      <c r="D105" s="14">
        <v>45170</v>
      </c>
      <c r="E105" s="40" t="str">
        <f t="shared" ca="1" si="13"/>
        <v>0年9ヵ月</v>
      </c>
      <c r="F105" s="18"/>
      <c r="G105" s="19" t="s">
        <v>244</v>
      </c>
      <c r="H105" s="13" t="str">
        <f t="shared" si="14"/>
        <v>https://scratch.mit.edu/users/-PiratesArts-/</v>
      </c>
      <c r="I105" s="21">
        <v>3</v>
      </c>
      <c r="J105" s="13" t="s">
        <v>426</v>
      </c>
      <c r="K105" s="20" t="str">
        <f t="shared" si="21"/>
        <v>2023/08/02</v>
      </c>
      <c r="L105" s="40" t="str">
        <f t="shared" ca="1" si="22"/>
        <v>0年10ヵ月4日</v>
      </c>
      <c r="M105" s="15">
        <v>66</v>
      </c>
      <c r="N105" s="15">
        <v>207</v>
      </c>
      <c r="O105" s="16">
        <f t="shared" si="15"/>
        <v>0.3188405797101449</v>
      </c>
      <c r="P105" s="17">
        <v>35</v>
      </c>
      <c r="Q105" s="22">
        <f t="shared" ca="1" si="16"/>
        <v>3.3980582524271843</v>
      </c>
      <c r="R105" s="38">
        <v>556</v>
      </c>
      <c r="S105" s="22">
        <f t="shared" ca="1" si="17"/>
        <v>53.980582524271838</v>
      </c>
      <c r="T105" s="22">
        <f t="shared" si="23"/>
        <v>15.885714285714286</v>
      </c>
      <c r="U105" s="17">
        <v>264</v>
      </c>
      <c r="V105" s="22">
        <f t="shared" ca="1" si="19"/>
        <v>25.631067961165048</v>
      </c>
      <c r="W105" s="22">
        <f t="shared" si="20"/>
        <v>7.5428571428571427</v>
      </c>
      <c r="X105" s="13"/>
    </row>
    <row r="106" spans="1:24" x14ac:dyDescent="0.4">
      <c r="A106" s="13" t="s">
        <v>499</v>
      </c>
      <c r="B106" s="13" t="s">
        <v>500</v>
      </c>
      <c r="C106" s="13" t="str">
        <f t="shared" si="12"/>
        <v>https://x.com/qila_mc</v>
      </c>
      <c r="D106" s="14">
        <v>45352</v>
      </c>
      <c r="E106" s="21" t="str">
        <f t="shared" ca="1" si="13"/>
        <v>0年3ヵ月</v>
      </c>
      <c r="F106" s="18"/>
      <c r="G106" s="19" t="s">
        <v>501</v>
      </c>
      <c r="H106" s="13" t="str">
        <f t="shared" si="14"/>
        <v>https://scratch.mit.edu/users/BxlInQ/</v>
      </c>
      <c r="I106" s="21">
        <v>3</v>
      </c>
      <c r="J106" s="13" t="s">
        <v>426</v>
      </c>
      <c r="K106" s="20" t="str">
        <f t="shared" si="21"/>
        <v>2023/12/03</v>
      </c>
      <c r="L106" s="40" t="str">
        <f t="shared" ca="1" si="22"/>
        <v>0年6ヵ月3日</v>
      </c>
      <c r="M106" s="15">
        <v>17</v>
      </c>
      <c r="N106" s="15">
        <v>92</v>
      </c>
      <c r="O106" s="16">
        <f t="shared" si="15"/>
        <v>0.18478260869565216</v>
      </c>
      <c r="P106" s="17">
        <v>11</v>
      </c>
      <c r="Q106" s="22">
        <f t="shared" ca="1" si="16"/>
        <v>1.7741935483870968</v>
      </c>
      <c r="R106" s="38">
        <v>107</v>
      </c>
      <c r="S106" s="22">
        <f t="shared" ca="1" si="17"/>
        <v>17.258064516129032</v>
      </c>
      <c r="T106" s="22">
        <f t="shared" si="23"/>
        <v>9.7272727272727266</v>
      </c>
      <c r="U106" s="17">
        <v>15</v>
      </c>
      <c r="V106" s="22">
        <f t="shared" ca="1" si="19"/>
        <v>2.4193548387096775</v>
      </c>
      <c r="W106" s="22">
        <f t="shared" si="20"/>
        <v>1.3636363636363635</v>
      </c>
      <c r="X106" s="13"/>
    </row>
    <row r="107" spans="1:24" x14ac:dyDescent="0.4">
      <c r="A107" s="13" t="s">
        <v>251</v>
      </c>
      <c r="B107" s="13" t="s">
        <v>252</v>
      </c>
      <c r="C107" s="13" t="str">
        <f t="shared" si="12"/>
        <v>https://x.com/s4to329</v>
      </c>
      <c r="D107" s="14">
        <v>45231</v>
      </c>
      <c r="E107" s="40" t="str">
        <f t="shared" ca="1" si="13"/>
        <v>0年7ヵ月</v>
      </c>
      <c r="F107" s="18"/>
      <c r="G107" s="19" t="s">
        <v>330</v>
      </c>
      <c r="H107" s="13" t="str">
        <f t="shared" si="14"/>
        <v>https://scratch.mit.edu/users/SugarFX/</v>
      </c>
      <c r="I107" s="21">
        <v>3</v>
      </c>
      <c r="J107" s="13" t="s">
        <v>426</v>
      </c>
      <c r="K107" s="20" t="str">
        <f t="shared" si="21"/>
        <v>2022/06/24</v>
      </c>
      <c r="L107" s="40" t="str">
        <f t="shared" ca="1" si="22"/>
        <v>1年11ヵ月13日</v>
      </c>
      <c r="M107" s="15">
        <v>25</v>
      </c>
      <c r="N107" s="15">
        <v>246</v>
      </c>
      <c r="O107" s="16">
        <f t="shared" si="15"/>
        <v>0.1016260162601626</v>
      </c>
      <c r="P107" s="17">
        <v>20</v>
      </c>
      <c r="Q107" s="22">
        <f t="shared" ca="1" si="16"/>
        <v>0.84151472650771397</v>
      </c>
      <c r="R107" s="38">
        <v>227</v>
      </c>
      <c r="S107" s="22">
        <f t="shared" ca="1" si="17"/>
        <v>9.5511921458625526</v>
      </c>
      <c r="T107" s="22">
        <f t="shared" si="23"/>
        <v>11.35</v>
      </c>
      <c r="U107" s="17">
        <v>110</v>
      </c>
      <c r="V107" s="22">
        <f t="shared" ca="1" si="19"/>
        <v>4.6283309957924264</v>
      </c>
      <c r="W107" s="22">
        <f t="shared" si="20"/>
        <v>5.5</v>
      </c>
      <c r="X107" s="13"/>
    </row>
    <row r="108" spans="1:24" x14ac:dyDescent="0.4">
      <c r="A108" s="13" t="s">
        <v>259</v>
      </c>
      <c r="B108" s="13" t="s">
        <v>260</v>
      </c>
      <c r="C108" s="13" t="str">
        <f t="shared" si="12"/>
        <v>https://x.com/stafx6698</v>
      </c>
      <c r="D108" s="14">
        <v>45292</v>
      </c>
      <c r="E108" s="40" t="str">
        <f t="shared" ca="1" si="13"/>
        <v>0年5ヵ月</v>
      </c>
      <c r="F108" s="18"/>
      <c r="G108" s="19" t="s">
        <v>333</v>
      </c>
      <c r="H108" s="13" t="str">
        <f t="shared" si="14"/>
        <v>https://scratch.mit.edu/users/Xx_-star-_xX/</v>
      </c>
      <c r="I108" s="21">
        <v>3</v>
      </c>
      <c r="J108" s="13" t="s">
        <v>426</v>
      </c>
      <c r="K108" s="20" t="str">
        <f t="shared" si="21"/>
        <v>2021/12/09</v>
      </c>
      <c r="L108" s="40" t="str">
        <f t="shared" ca="1" si="22"/>
        <v>2年5ヵ月28日</v>
      </c>
      <c r="M108" s="15">
        <v>50</v>
      </c>
      <c r="N108" s="15">
        <v>668</v>
      </c>
      <c r="O108" s="16">
        <f t="shared" si="15"/>
        <v>7.4850299401197598E-2</v>
      </c>
      <c r="P108" s="17">
        <v>45</v>
      </c>
      <c r="Q108" s="22">
        <f t="shared" ca="1" si="16"/>
        <v>1.4835164835164836</v>
      </c>
      <c r="R108" s="38">
        <v>915</v>
      </c>
      <c r="S108" s="22">
        <f t="shared" ca="1" si="17"/>
        <v>30.164835164835164</v>
      </c>
      <c r="T108" s="22">
        <f t="shared" si="23"/>
        <v>20.333333333333332</v>
      </c>
      <c r="U108" s="17">
        <v>12</v>
      </c>
      <c r="V108" s="22">
        <f t="shared" ca="1" si="19"/>
        <v>0.39560439560439564</v>
      </c>
      <c r="W108" s="22">
        <f t="shared" si="20"/>
        <v>0.26666666666666666</v>
      </c>
      <c r="X108" s="13"/>
    </row>
    <row r="109" spans="1:24" x14ac:dyDescent="0.4">
      <c r="A109" s="13" t="s">
        <v>374</v>
      </c>
      <c r="B109" s="13" t="s">
        <v>345</v>
      </c>
      <c r="C109" s="13" t="str">
        <f t="shared" si="12"/>
        <v>https://x.com/Tasa_intro</v>
      </c>
      <c r="D109" s="14">
        <v>45108</v>
      </c>
      <c r="E109" s="40" t="str">
        <f t="shared" ca="1" si="13"/>
        <v>0年11ヵ月</v>
      </c>
      <c r="F109" s="18"/>
      <c r="G109" s="19" t="s">
        <v>346</v>
      </c>
      <c r="H109" s="13" t="str">
        <f t="shared" si="14"/>
        <v>https://scratch.mit.edu/users/tatatasasasa/</v>
      </c>
      <c r="I109" s="21">
        <v>3</v>
      </c>
      <c r="J109" s="13" t="s">
        <v>426</v>
      </c>
      <c r="K109" s="20" t="str">
        <f t="shared" si="21"/>
        <v>2021/02/09</v>
      </c>
      <c r="L109" s="40" t="str">
        <f t="shared" ca="1" si="22"/>
        <v>3年3ヵ月28日</v>
      </c>
      <c r="M109" s="15">
        <v>51</v>
      </c>
      <c r="N109" s="15">
        <v>231</v>
      </c>
      <c r="O109" s="16">
        <f t="shared" si="15"/>
        <v>0.22077922077922077</v>
      </c>
      <c r="P109" s="17">
        <v>146</v>
      </c>
      <c r="Q109" s="22">
        <f t="shared" ca="1" si="16"/>
        <v>3.6108821104699098</v>
      </c>
      <c r="R109" s="38">
        <v>1617</v>
      </c>
      <c r="S109" s="22">
        <f t="shared" ca="1" si="17"/>
        <v>39.991755976916735</v>
      </c>
      <c r="T109" s="22">
        <f t="shared" si="23"/>
        <v>11.075342465753424</v>
      </c>
      <c r="U109" s="17">
        <v>1221</v>
      </c>
      <c r="V109" s="22">
        <f t="shared" ca="1" si="19"/>
        <v>30.197856553998353</v>
      </c>
      <c r="W109" s="22">
        <f t="shared" si="20"/>
        <v>8.3630136986301373</v>
      </c>
      <c r="X109" s="13"/>
    </row>
    <row r="110" spans="1:24" x14ac:dyDescent="0.4">
      <c r="A110" s="13" t="s">
        <v>265</v>
      </c>
      <c r="B110" s="13" t="s">
        <v>266</v>
      </c>
      <c r="C110" s="13" t="str">
        <f t="shared" si="12"/>
        <v>https://x.com/TIXDCD</v>
      </c>
      <c r="D110" s="14">
        <v>43586</v>
      </c>
      <c r="E110" s="40" t="str">
        <f t="shared" ca="1" si="13"/>
        <v>5年1ヵ月</v>
      </c>
      <c r="F110" s="18"/>
      <c r="G110" s="19" t="s">
        <v>335</v>
      </c>
      <c r="H110" s="13" t="str">
        <f t="shared" si="14"/>
        <v>https://scratch.mit.edu/users/t9decode/</v>
      </c>
      <c r="I110" s="21">
        <v>3</v>
      </c>
      <c r="J110" s="13" t="s">
        <v>426</v>
      </c>
      <c r="K110" s="20" t="str">
        <f t="shared" si="21"/>
        <v>2016/03/25</v>
      </c>
      <c r="L110" s="40" t="str">
        <f t="shared" ca="1" si="22"/>
        <v>8年2ヵ月12日</v>
      </c>
      <c r="M110" s="15">
        <v>717</v>
      </c>
      <c r="N110" s="15">
        <v>5380</v>
      </c>
      <c r="O110" s="16">
        <f t="shared" si="15"/>
        <v>0.13327137546468401</v>
      </c>
      <c r="P110" s="17">
        <v>63</v>
      </c>
      <c r="Q110" s="22">
        <f t="shared" ca="1" si="16"/>
        <v>0.63105175292153592</v>
      </c>
      <c r="R110" s="38">
        <v>1058</v>
      </c>
      <c r="S110" s="22">
        <f t="shared" ca="1" si="17"/>
        <v>10.597662771285476</v>
      </c>
      <c r="T110" s="22">
        <f t="shared" si="23"/>
        <v>16.793650793650794</v>
      </c>
      <c r="U110" s="17">
        <v>700</v>
      </c>
      <c r="V110" s="22">
        <f t="shared" ca="1" si="19"/>
        <v>7.0116861435726214</v>
      </c>
      <c r="W110" s="22">
        <f t="shared" si="20"/>
        <v>11.111111111111111</v>
      </c>
      <c r="X110" s="13"/>
    </row>
    <row r="111" spans="1:24" x14ac:dyDescent="0.4">
      <c r="A111" s="13" t="s">
        <v>469</v>
      </c>
      <c r="B111" s="13" t="s">
        <v>470</v>
      </c>
      <c r="C111" s="13" t="str">
        <f t="shared" si="12"/>
        <v>https://x.com/troydzn_2gou</v>
      </c>
      <c r="D111" s="14">
        <v>45383</v>
      </c>
      <c r="E111" s="21" t="str">
        <f t="shared" ca="1" si="13"/>
        <v>0年2ヵ月</v>
      </c>
      <c r="F111" s="18"/>
      <c r="G111" s="19" t="s">
        <v>471</v>
      </c>
      <c r="H111" s="13" t="str">
        <f t="shared" si="14"/>
        <v>https://scratch.mit.edu/users/-troydzn-/</v>
      </c>
      <c r="I111" s="21">
        <v>3</v>
      </c>
      <c r="J111" s="13" t="s">
        <v>426</v>
      </c>
      <c r="K111" s="20" t="str">
        <f t="shared" si="21"/>
        <v>2023/07/07</v>
      </c>
      <c r="L111" s="40" t="str">
        <f t="shared" ca="1" si="22"/>
        <v>0年10ヵ月30日</v>
      </c>
      <c r="M111" s="15">
        <v>83</v>
      </c>
      <c r="N111" s="15">
        <v>52</v>
      </c>
      <c r="O111" s="16">
        <f t="shared" si="15"/>
        <v>1.5961538461538463</v>
      </c>
      <c r="P111" s="17">
        <v>14</v>
      </c>
      <c r="Q111" s="22">
        <f t="shared" ca="1" si="16"/>
        <v>1.2537313432835822</v>
      </c>
      <c r="R111" s="38">
        <v>162</v>
      </c>
      <c r="S111" s="22">
        <f t="shared" ca="1" si="17"/>
        <v>14.507462686567164</v>
      </c>
      <c r="T111" s="22">
        <f t="shared" si="23"/>
        <v>11.571428571428571</v>
      </c>
      <c r="U111" s="17">
        <v>42</v>
      </c>
      <c r="V111" s="22">
        <f t="shared" ca="1" si="19"/>
        <v>3.7611940298507465</v>
      </c>
      <c r="W111" s="22">
        <f t="shared" si="20"/>
        <v>3</v>
      </c>
      <c r="X111" s="13"/>
    </row>
    <row r="112" spans="1:24" x14ac:dyDescent="0.4">
      <c r="A112" s="13" t="s">
        <v>267</v>
      </c>
      <c r="B112" s="13" t="s">
        <v>268</v>
      </c>
      <c r="C112" s="13" t="str">
        <f t="shared" si="12"/>
        <v>https://x.com/Ttro_FX</v>
      </c>
      <c r="D112" s="14">
        <v>45078</v>
      </c>
      <c r="E112" s="40" t="str">
        <f t="shared" ca="1" si="13"/>
        <v>1年0ヵ月</v>
      </c>
      <c r="F112" s="18"/>
      <c r="G112" s="19" t="s">
        <v>336</v>
      </c>
      <c r="H112" s="13" t="str">
        <f t="shared" si="14"/>
        <v>https://scratch.mit.edu/users/Ttro-FX/</v>
      </c>
      <c r="I112" s="21">
        <v>3</v>
      </c>
      <c r="J112" s="13" t="s">
        <v>426</v>
      </c>
      <c r="K112" s="20" t="str">
        <f t="shared" si="21"/>
        <v>2023/01/17</v>
      </c>
      <c r="L112" s="40" t="str">
        <f t="shared" ca="1" si="22"/>
        <v>1年4ヵ月20日</v>
      </c>
      <c r="M112" s="15">
        <v>1</v>
      </c>
      <c r="N112" s="15">
        <v>481</v>
      </c>
      <c r="O112" s="16">
        <f t="shared" si="15"/>
        <v>2.0790020790020791E-3</v>
      </c>
      <c r="P112" s="17">
        <v>152</v>
      </c>
      <c r="Q112" s="22">
        <f t="shared" ca="1" si="16"/>
        <v>9.0118577075098809</v>
      </c>
      <c r="R112" s="38">
        <v>1100</v>
      </c>
      <c r="S112" s="22">
        <f t="shared" ca="1" si="17"/>
        <v>65.217391304347828</v>
      </c>
      <c r="T112" s="22">
        <f t="shared" si="23"/>
        <v>7.2368421052631575</v>
      </c>
      <c r="U112" s="17">
        <v>1</v>
      </c>
      <c r="V112" s="22">
        <f t="shared" ca="1" si="19"/>
        <v>5.9288537549407112E-2</v>
      </c>
      <c r="W112" s="22">
        <f t="shared" si="20"/>
        <v>6.5789473684210523E-3</v>
      </c>
      <c r="X112" s="13"/>
    </row>
    <row r="113" spans="1:24" x14ac:dyDescent="0.4">
      <c r="A113" s="13" t="s">
        <v>32</v>
      </c>
      <c r="B113" s="13" t="s">
        <v>31</v>
      </c>
      <c r="C113" s="13" t="str">
        <f t="shared" si="12"/>
        <v>https://x.com/tyoral_</v>
      </c>
      <c r="D113" s="14">
        <v>44927</v>
      </c>
      <c r="E113" s="40" t="str">
        <f t="shared" ca="1" si="13"/>
        <v>1年5ヵ月</v>
      </c>
      <c r="F113" s="18"/>
      <c r="G113" s="19" t="s">
        <v>30</v>
      </c>
      <c r="H113" s="13" t="str">
        <f t="shared" si="14"/>
        <v>https://scratch.mit.edu/users/Xx_Choral_A_xX/</v>
      </c>
      <c r="I113" s="21">
        <v>3</v>
      </c>
      <c r="J113" s="13" t="s">
        <v>426</v>
      </c>
      <c r="K113" s="20" t="str">
        <f t="shared" si="21"/>
        <v>2022/06/19</v>
      </c>
      <c r="L113" s="40" t="str">
        <f t="shared" ca="1" si="22"/>
        <v>1年11ヵ月18日</v>
      </c>
      <c r="M113" s="15">
        <v>45</v>
      </c>
      <c r="N113" s="15">
        <v>357</v>
      </c>
      <c r="O113" s="16">
        <f t="shared" si="15"/>
        <v>0.12605042016806722</v>
      </c>
      <c r="P113" s="17">
        <v>58</v>
      </c>
      <c r="Q113" s="22">
        <f t="shared" ca="1" si="16"/>
        <v>2.4233983286908076</v>
      </c>
      <c r="R113" s="38">
        <v>514</v>
      </c>
      <c r="S113" s="22">
        <f t="shared" ca="1" si="17"/>
        <v>21.47632311977716</v>
      </c>
      <c r="T113" s="22">
        <f t="shared" si="23"/>
        <v>8.862068965517242</v>
      </c>
      <c r="U113" s="17">
        <v>435</v>
      </c>
      <c r="V113" s="22">
        <f t="shared" ca="1" si="19"/>
        <v>18.175487465181057</v>
      </c>
      <c r="W113" s="22">
        <f t="shared" si="20"/>
        <v>7.5</v>
      </c>
      <c r="X113" s="13"/>
    </row>
    <row r="114" spans="1:24" x14ac:dyDescent="0.4">
      <c r="A114" s="13" t="s">
        <v>274</v>
      </c>
      <c r="B114" s="13" t="s">
        <v>275</v>
      </c>
      <c r="C114" s="13" t="str">
        <f t="shared" si="12"/>
        <v>https://x.com/Violey_</v>
      </c>
      <c r="D114" s="14">
        <v>44958</v>
      </c>
      <c r="E114" s="40" t="str">
        <f t="shared" ca="1" si="13"/>
        <v>1年4ヵ月</v>
      </c>
      <c r="F114" s="18"/>
      <c r="G114" s="19" t="s">
        <v>340</v>
      </c>
      <c r="H114" s="13" t="str">
        <f t="shared" si="14"/>
        <v>https://scratch.mit.edu/users/-VioletArtz-/</v>
      </c>
      <c r="I114" s="21">
        <v>3</v>
      </c>
      <c r="J114" s="13" t="s">
        <v>426</v>
      </c>
      <c r="K114" s="20" t="str">
        <f t="shared" si="21"/>
        <v>2023/01/22</v>
      </c>
      <c r="L114" s="40" t="str">
        <f t="shared" ca="1" si="22"/>
        <v>1年4ヵ月15日</v>
      </c>
      <c r="M114" s="15">
        <v>4</v>
      </c>
      <c r="N114" s="15">
        <v>14</v>
      </c>
      <c r="O114" s="16">
        <f t="shared" si="15"/>
        <v>0.2857142857142857</v>
      </c>
      <c r="P114" s="17">
        <v>9</v>
      </c>
      <c r="Q114" s="22">
        <f t="shared" ca="1" si="16"/>
        <v>0.53892215568862278</v>
      </c>
      <c r="R114" s="38">
        <v>3</v>
      </c>
      <c r="S114" s="22">
        <f t="shared" ca="1" si="17"/>
        <v>0.17964071856287425</v>
      </c>
      <c r="T114" s="22">
        <f t="shared" si="23"/>
        <v>0.33333333333333331</v>
      </c>
      <c r="U114" s="17">
        <v>0</v>
      </c>
      <c r="V114" s="22">
        <f t="shared" ca="1" si="19"/>
        <v>0</v>
      </c>
      <c r="W114" s="22">
        <f t="shared" si="20"/>
        <v>0</v>
      </c>
      <c r="X114" s="13"/>
    </row>
    <row r="115" spans="1:24" x14ac:dyDescent="0.4">
      <c r="A115" s="13" t="s">
        <v>277</v>
      </c>
      <c r="B115" s="13" t="s">
        <v>278</v>
      </c>
      <c r="C115" s="13" t="str">
        <f t="shared" si="12"/>
        <v>https://x.com/xX0_Mame_0Xx</v>
      </c>
      <c r="D115" s="14">
        <v>44986</v>
      </c>
      <c r="E115" s="40" t="str">
        <f t="shared" ca="1" si="13"/>
        <v>1年3ヵ月</v>
      </c>
      <c r="F115" s="18"/>
      <c r="G115" s="19" t="s">
        <v>342</v>
      </c>
      <c r="H115" s="13" t="str">
        <f t="shared" si="14"/>
        <v>https://scratch.mit.edu/users/xX-_-Mame-_-Xx/</v>
      </c>
      <c r="I115" s="21">
        <v>3</v>
      </c>
      <c r="J115" s="13" t="s">
        <v>426</v>
      </c>
      <c r="K115" s="20" t="str">
        <f t="shared" si="21"/>
        <v>2022/03/19</v>
      </c>
      <c r="L115" s="40" t="str">
        <f t="shared" ca="1" si="22"/>
        <v>2年2ヵ月18日</v>
      </c>
      <c r="M115" s="15">
        <v>114</v>
      </c>
      <c r="N115" s="15">
        <v>233</v>
      </c>
      <c r="O115" s="16">
        <f t="shared" si="15"/>
        <v>0.48927038626609443</v>
      </c>
      <c r="P115" s="17">
        <v>60</v>
      </c>
      <c r="Q115" s="22">
        <f t="shared" ca="1" si="16"/>
        <v>2.2222222222222223</v>
      </c>
      <c r="R115" s="38">
        <v>1332</v>
      </c>
      <c r="S115" s="22">
        <f t="shared" ca="1" si="17"/>
        <v>49.333333333333336</v>
      </c>
      <c r="T115" s="22">
        <f t="shared" si="23"/>
        <v>22.2</v>
      </c>
      <c r="U115" s="17">
        <v>1333</v>
      </c>
      <c r="V115" s="22">
        <f t="shared" ca="1" si="19"/>
        <v>49.370370370370374</v>
      </c>
      <c r="W115" s="22">
        <f t="shared" si="20"/>
        <v>22.216666666666665</v>
      </c>
      <c r="X115" s="13"/>
    </row>
    <row r="116" spans="1:24" x14ac:dyDescent="0.4">
      <c r="A116" s="13" t="s">
        <v>24</v>
      </c>
      <c r="B116" s="13" t="s">
        <v>23</v>
      </c>
      <c r="C116" s="13" t="str">
        <f t="shared" si="12"/>
        <v>https://x.com/YoukunFX</v>
      </c>
      <c r="D116" s="14">
        <v>45017</v>
      </c>
      <c r="E116" s="40" t="str">
        <f t="shared" ca="1" si="13"/>
        <v>1年2ヵ月</v>
      </c>
      <c r="F116" s="18" t="s">
        <v>16</v>
      </c>
      <c r="G116" s="19" t="s">
        <v>22</v>
      </c>
      <c r="H116" s="13" t="str">
        <f t="shared" si="14"/>
        <v>https://scratch.mit.edu/users/-Snowy-FX-/</v>
      </c>
      <c r="I116" s="21">
        <v>3</v>
      </c>
      <c r="J116" s="13" t="s">
        <v>426</v>
      </c>
      <c r="K116" s="20" t="str">
        <f t="shared" si="21"/>
        <v>2022/09/28</v>
      </c>
      <c r="L116" s="40" t="str">
        <f t="shared" ca="1" si="22"/>
        <v>1年8ヵ月9日</v>
      </c>
      <c r="M116" s="15">
        <v>10</v>
      </c>
      <c r="N116" s="15">
        <v>380</v>
      </c>
      <c r="O116" s="16">
        <f t="shared" si="15"/>
        <v>2.6315789473684209E-2</v>
      </c>
      <c r="P116" s="17">
        <v>0</v>
      </c>
      <c r="Q116" s="22">
        <f t="shared" ca="1" si="16"/>
        <v>0</v>
      </c>
      <c r="R116" s="38">
        <v>1870</v>
      </c>
      <c r="S116" s="22">
        <f t="shared" ca="1" si="17"/>
        <v>90.923824959481365</v>
      </c>
      <c r="T116" s="22">
        <f t="shared" si="23"/>
        <v>0</v>
      </c>
      <c r="U116" s="17">
        <v>6</v>
      </c>
      <c r="V116" s="22">
        <f t="shared" ca="1" si="19"/>
        <v>0.29173419773095627</v>
      </c>
      <c r="W116" s="22">
        <f t="shared" si="20"/>
        <v>0</v>
      </c>
      <c r="X116" s="13"/>
    </row>
    <row r="117" spans="1:24" x14ac:dyDescent="0.4">
      <c r="A117" s="13" t="s">
        <v>493</v>
      </c>
      <c r="B117" s="13" t="s">
        <v>494</v>
      </c>
      <c r="C117" s="13" t="str">
        <f t="shared" si="12"/>
        <v>https://x.com/yuharu55</v>
      </c>
      <c r="D117" s="14">
        <v>44652</v>
      </c>
      <c r="E117" s="21" t="str">
        <f t="shared" ca="1" si="13"/>
        <v>2年2ヵ月</v>
      </c>
      <c r="F117" s="18"/>
      <c r="G117" s="19" t="s">
        <v>495</v>
      </c>
      <c r="H117" s="13" t="str">
        <f t="shared" si="14"/>
        <v>https://scratch.mit.edu/users/yuharu555/</v>
      </c>
      <c r="I117" s="21">
        <v>3</v>
      </c>
      <c r="J117" s="13" t="s">
        <v>426</v>
      </c>
      <c r="K117" s="20" t="str">
        <f t="shared" si="21"/>
        <v>2017/10/24</v>
      </c>
      <c r="L117" s="40" t="str">
        <f t="shared" ca="1" si="22"/>
        <v>6年7ヵ月13日</v>
      </c>
      <c r="M117" s="15">
        <v>33</v>
      </c>
      <c r="N117" s="15">
        <v>36</v>
      </c>
      <c r="O117" s="16">
        <f t="shared" si="15"/>
        <v>0.91666666666666663</v>
      </c>
      <c r="P117" s="17">
        <v>16</v>
      </c>
      <c r="Q117" s="22">
        <f t="shared" ca="1" si="16"/>
        <v>0.19859329747621018</v>
      </c>
      <c r="R117" s="38">
        <v>249</v>
      </c>
      <c r="S117" s="22">
        <f t="shared" ca="1" si="17"/>
        <v>3.0906081919735211</v>
      </c>
      <c r="T117" s="22">
        <f t="shared" si="23"/>
        <v>15.5625</v>
      </c>
      <c r="U117" s="17">
        <v>195</v>
      </c>
      <c r="V117" s="22">
        <f t="shared" ca="1" si="19"/>
        <v>2.4203558129913119</v>
      </c>
      <c r="W117" s="22">
        <f t="shared" si="20"/>
        <v>12.1875</v>
      </c>
      <c r="X117" s="13"/>
    </row>
    <row r="118" spans="1:24" x14ac:dyDescent="0.4">
      <c r="A118" s="13" t="s">
        <v>21</v>
      </c>
      <c r="B118" s="13" t="s">
        <v>20</v>
      </c>
      <c r="C118" s="13" t="str">
        <f t="shared" si="12"/>
        <v>https://x.com/zororiku_</v>
      </c>
      <c r="D118" s="14">
        <v>44682</v>
      </c>
      <c r="E118" s="40" t="str">
        <f t="shared" ca="1" si="13"/>
        <v>2年1ヵ月</v>
      </c>
      <c r="F118" s="18"/>
      <c r="G118" s="19" t="s">
        <v>19</v>
      </c>
      <c r="H118" s="13" t="str">
        <f t="shared" si="14"/>
        <v>https://scratch.mit.edu/users/zororiku/</v>
      </c>
      <c r="I118" s="21">
        <v>3</v>
      </c>
      <c r="J118" s="13" t="s">
        <v>426</v>
      </c>
      <c r="K118" s="20" t="str">
        <f t="shared" si="21"/>
        <v>2018/10/08</v>
      </c>
      <c r="L118" s="40" t="str">
        <f t="shared" ca="1" si="22"/>
        <v>5年7ヵ月29日</v>
      </c>
      <c r="M118" s="15">
        <v>165</v>
      </c>
      <c r="N118" s="15">
        <v>1406</v>
      </c>
      <c r="O118" s="16">
        <f t="shared" si="15"/>
        <v>0.11735419630156473</v>
      </c>
      <c r="P118" s="17">
        <v>53</v>
      </c>
      <c r="Q118" s="22">
        <f t="shared" ca="1" si="16"/>
        <v>0.7688588007736944</v>
      </c>
      <c r="R118" s="38">
        <v>983</v>
      </c>
      <c r="S118" s="22">
        <f t="shared" ca="1" si="17"/>
        <v>14.260154738878143</v>
      </c>
      <c r="T118" s="22">
        <f t="shared" si="23"/>
        <v>18.547169811320753</v>
      </c>
      <c r="U118" s="17">
        <v>831</v>
      </c>
      <c r="V118" s="22">
        <f t="shared" ca="1" si="19"/>
        <v>12.05512572533849</v>
      </c>
      <c r="W118" s="22">
        <f t="shared" si="20"/>
        <v>15.679245283018869</v>
      </c>
      <c r="X118" s="13"/>
    </row>
    <row r="119" spans="1:24" x14ac:dyDescent="0.4">
      <c r="A119" s="13" t="s">
        <v>143</v>
      </c>
      <c r="B119" s="13" t="s">
        <v>429</v>
      </c>
      <c r="C119" s="13" t="str">
        <f t="shared" si="12"/>
        <v>https://x.com/_ra_mennya_</v>
      </c>
      <c r="D119" s="14">
        <v>45352</v>
      </c>
      <c r="E119" s="40" t="str">
        <f t="shared" ca="1" si="13"/>
        <v>0年3ヵ月</v>
      </c>
      <c r="F119" s="18"/>
      <c r="G119" s="19" t="s">
        <v>142</v>
      </c>
      <c r="H119" s="13" t="str">
        <f t="shared" si="14"/>
        <v>https://scratch.mit.edu/users/rara__official/</v>
      </c>
      <c r="I119" s="21">
        <v>4</v>
      </c>
      <c r="J119" s="13" t="s">
        <v>428</v>
      </c>
      <c r="K119" s="20" t="str">
        <f t="shared" si="21"/>
        <v>2023/10/02</v>
      </c>
      <c r="L119" s="40" t="str">
        <f t="shared" ca="1" si="22"/>
        <v>0年8ヵ月4日</v>
      </c>
      <c r="M119" s="15">
        <v>59</v>
      </c>
      <c r="N119" s="15">
        <v>618</v>
      </c>
      <c r="O119" s="16">
        <f t="shared" si="15"/>
        <v>9.5469255663430425E-2</v>
      </c>
      <c r="P119" s="17">
        <v>10</v>
      </c>
      <c r="Q119" s="22">
        <f t="shared" ca="1" si="16"/>
        <v>1.2096774193548385</v>
      </c>
      <c r="R119" s="38">
        <v>1154</v>
      </c>
      <c r="S119" s="22">
        <f t="shared" ca="1" si="17"/>
        <v>139.59677419354838</v>
      </c>
      <c r="T119" s="22">
        <f t="shared" si="23"/>
        <v>115.4</v>
      </c>
      <c r="U119" s="17">
        <v>86</v>
      </c>
      <c r="V119" s="22">
        <f t="shared" ca="1" si="19"/>
        <v>10.403225806451612</v>
      </c>
      <c r="W119" s="22">
        <f t="shared" si="20"/>
        <v>8.6</v>
      </c>
      <c r="X119" s="13"/>
    </row>
    <row r="120" spans="1:24" x14ac:dyDescent="0.4">
      <c r="A120" s="13" t="s">
        <v>437</v>
      </c>
      <c r="B120" s="13" t="s">
        <v>438</v>
      </c>
      <c r="C120" s="13" t="str">
        <f t="shared" si="12"/>
        <v>https://x.com/bpb_falche</v>
      </c>
      <c r="D120" s="14">
        <v>44835</v>
      </c>
      <c r="E120" s="40" t="str">
        <f t="shared" ca="1" si="13"/>
        <v>1年8ヵ月</v>
      </c>
      <c r="F120" s="18"/>
      <c r="G120" s="19" t="s">
        <v>416</v>
      </c>
      <c r="H120" s="13" t="str">
        <f t="shared" si="14"/>
        <v>https://scratch.mit.edu/users/eikokoro/</v>
      </c>
      <c r="I120" s="21">
        <v>4</v>
      </c>
      <c r="J120" s="13" t="s">
        <v>428</v>
      </c>
      <c r="K120" s="20" t="str">
        <f t="shared" si="21"/>
        <v>2017/07/09</v>
      </c>
      <c r="L120" s="40" t="str">
        <f t="shared" ca="1" si="22"/>
        <v>6年10ヵ月28日</v>
      </c>
      <c r="M120" s="15">
        <v>38</v>
      </c>
      <c r="N120" s="15">
        <v>4355</v>
      </c>
      <c r="O120" s="16">
        <f t="shared" si="15"/>
        <v>8.7256027554535025E-3</v>
      </c>
      <c r="P120" s="17">
        <v>21</v>
      </c>
      <c r="Q120" s="22">
        <f t="shared" ca="1" si="16"/>
        <v>0.2496038034865293</v>
      </c>
      <c r="R120" s="38">
        <v>166</v>
      </c>
      <c r="S120" s="22">
        <f t="shared" ca="1" si="17"/>
        <v>1.9730586370839935</v>
      </c>
      <c r="T120" s="22">
        <f t="shared" si="23"/>
        <v>7.9047619047619051</v>
      </c>
      <c r="U120" s="17">
        <v>119</v>
      </c>
      <c r="V120" s="22">
        <f t="shared" ca="1" si="19"/>
        <v>1.4144215530903328</v>
      </c>
      <c r="W120" s="22">
        <f t="shared" si="20"/>
        <v>5.666666666666667</v>
      </c>
      <c r="X120" s="13"/>
    </row>
    <row r="121" spans="1:24" x14ac:dyDescent="0.4">
      <c r="A121" s="13" t="s">
        <v>553</v>
      </c>
      <c r="B121" s="13" t="s">
        <v>553</v>
      </c>
      <c r="C121" s="13" t="str">
        <f t="shared" si="12"/>
        <v>https://x.com/iwasiniki</v>
      </c>
      <c r="D121" s="14">
        <v>45352</v>
      </c>
      <c r="E121" s="21" t="str">
        <f t="shared" ca="1" si="13"/>
        <v>0年3ヵ月</v>
      </c>
      <c r="F121" s="18"/>
      <c r="G121" s="19" t="s">
        <v>554</v>
      </c>
      <c r="H121" s="13" t="str">
        <f t="shared" si="14"/>
        <v>https://scratch.mit.edu/users/Cranberrytrap/</v>
      </c>
      <c r="I121" s="21">
        <v>4</v>
      </c>
      <c r="J121" s="13" t="s">
        <v>428</v>
      </c>
      <c r="K121" s="20" t="str">
        <f t="shared" si="21"/>
        <v>2022/03/28</v>
      </c>
      <c r="L121" s="40" t="str">
        <f t="shared" ca="1" si="22"/>
        <v>2年2ヵ月9日</v>
      </c>
      <c r="M121" s="15">
        <v>552</v>
      </c>
      <c r="N121" s="15">
        <v>381</v>
      </c>
      <c r="O121" s="16">
        <f t="shared" si="15"/>
        <v>1.4488188976377954</v>
      </c>
      <c r="P121" s="17">
        <v>19</v>
      </c>
      <c r="Q121" s="22">
        <f t="shared" ca="1" si="16"/>
        <v>0.71161048689138584</v>
      </c>
      <c r="R121" s="38">
        <v>122</v>
      </c>
      <c r="S121" s="22">
        <f t="shared" ca="1" si="17"/>
        <v>4.5692883895131091</v>
      </c>
      <c r="T121" s="22">
        <f t="shared" si="23"/>
        <v>6.4210526315789478</v>
      </c>
      <c r="U121" s="17">
        <v>111</v>
      </c>
      <c r="V121" s="22">
        <f t="shared" ca="1" si="19"/>
        <v>4.1573033707865168</v>
      </c>
      <c r="W121" s="22">
        <f t="shared" si="20"/>
        <v>5.8421052631578947</v>
      </c>
      <c r="X121" s="13"/>
    </row>
    <row r="122" spans="1:24" x14ac:dyDescent="0.4">
      <c r="A122" s="13" t="s">
        <v>410</v>
      </c>
      <c r="B122" s="13" t="s">
        <v>440</v>
      </c>
      <c r="C122" s="13" t="str">
        <f t="shared" si="12"/>
        <v>https://x.com/kamino_aoto</v>
      </c>
      <c r="D122" s="14">
        <v>45292</v>
      </c>
      <c r="E122" s="40" t="str">
        <f t="shared" ca="1" si="13"/>
        <v>0年5ヵ月</v>
      </c>
      <c r="F122" s="18"/>
      <c r="G122" s="19" t="s">
        <v>92</v>
      </c>
      <c r="H122" s="13" t="str">
        <f t="shared" si="14"/>
        <v>https://scratch.mit.edu/users/kaneshiro_aoto/</v>
      </c>
      <c r="I122" s="21">
        <v>4</v>
      </c>
      <c r="J122" s="13" t="s">
        <v>428</v>
      </c>
      <c r="K122" s="20" t="str">
        <f t="shared" si="21"/>
        <v>2024/02/17</v>
      </c>
      <c r="L122" s="40" t="str">
        <f t="shared" ca="1" si="22"/>
        <v>0年3ヵ月20日</v>
      </c>
      <c r="M122" s="15">
        <v>44</v>
      </c>
      <c r="N122" s="15">
        <v>307</v>
      </c>
      <c r="O122" s="16">
        <f t="shared" si="15"/>
        <v>0.14332247557003258</v>
      </c>
      <c r="P122" s="17">
        <v>41</v>
      </c>
      <c r="Q122" s="22">
        <f t="shared" ca="1" si="16"/>
        <v>11.181818181818182</v>
      </c>
      <c r="R122" s="38">
        <v>413</v>
      </c>
      <c r="S122" s="22">
        <f t="shared" ca="1" si="17"/>
        <v>112.63636363636364</v>
      </c>
      <c r="T122" s="22">
        <f t="shared" si="23"/>
        <v>10.073170731707316</v>
      </c>
      <c r="U122" s="17">
        <v>87</v>
      </c>
      <c r="V122" s="22">
        <f t="shared" ca="1" si="19"/>
        <v>23.727272727272727</v>
      </c>
      <c r="W122" s="22">
        <f t="shared" si="20"/>
        <v>2.1219512195121952</v>
      </c>
      <c r="X122" s="13"/>
    </row>
    <row r="123" spans="1:24" x14ac:dyDescent="0.4">
      <c r="A123" s="13" t="s">
        <v>214</v>
      </c>
      <c r="B123" s="13" t="s">
        <v>420</v>
      </c>
      <c r="C123" s="13" t="str">
        <f t="shared" si="12"/>
        <v>https://x.com/maluyuu_RCJ</v>
      </c>
      <c r="D123" s="14">
        <v>44501</v>
      </c>
      <c r="E123" s="40" t="str">
        <f t="shared" ca="1" si="13"/>
        <v>2年7ヵ月</v>
      </c>
      <c r="F123" s="18"/>
      <c r="G123" s="19" t="s">
        <v>313</v>
      </c>
      <c r="H123" s="13" t="str">
        <f t="shared" si="14"/>
        <v>https://scratch.mit.edu/users/maluyuu/</v>
      </c>
      <c r="I123" s="21">
        <v>4</v>
      </c>
      <c r="J123" s="13" t="s">
        <v>428</v>
      </c>
      <c r="K123" s="20" t="str">
        <f t="shared" si="21"/>
        <v>2017/01/07</v>
      </c>
      <c r="L123" s="40" t="str">
        <f t="shared" ca="1" si="22"/>
        <v>7年4ヵ月30日</v>
      </c>
      <c r="M123" s="15">
        <v>819</v>
      </c>
      <c r="N123" s="15">
        <v>2020</v>
      </c>
      <c r="O123" s="16">
        <f t="shared" si="15"/>
        <v>0.40544554455445547</v>
      </c>
      <c r="P123" s="17">
        <v>141</v>
      </c>
      <c r="Q123" s="22">
        <f t="shared" ca="1" si="16"/>
        <v>1.5626154414480975</v>
      </c>
      <c r="R123" s="38">
        <v>666</v>
      </c>
      <c r="S123" s="22">
        <f t="shared" ca="1" si="17"/>
        <v>7.3808644255633542</v>
      </c>
      <c r="T123" s="22">
        <f t="shared" si="23"/>
        <v>4.7234042553191493</v>
      </c>
      <c r="U123" s="17">
        <v>607</v>
      </c>
      <c r="V123" s="22">
        <f t="shared" ca="1" si="19"/>
        <v>6.7270040635389732</v>
      </c>
      <c r="W123" s="22">
        <f t="shared" si="20"/>
        <v>4.3049645390070923</v>
      </c>
      <c r="X123" s="13"/>
    </row>
    <row r="124" spans="1:24" x14ac:dyDescent="0.4">
      <c r="A124" s="13" t="s">
        <v>383</v>
      </c>
      <c r="B124" s="13" t="s">
        <v>366</v>
      </c>
      <c r="C124" s="13" t="str">
        <f t="shared" si="12"/>
        <v>https://x.com/Mn__Shigure</v>
      </c>
      <c r="D124" s="14">
        <v>45231</v>
      </c>
      <c r="E124" s="40" t="str">
        <f t="shared" ca="1" si="13"/>
        <v>0年7ヵ月</v>
      </c>
      <c r="F124" s="18"/>
      <c r="G124" s="19" t="s">
        <v>365</v>
      </c>
      <c r="H124" s="13" t="str">
        <f t="shared" si="14"/>
        <v>https://scratch.mit.edu/users/Mn__Shigure/</v>
      </c>
      <c r="I124" s="21">
        <v>4</v>
      </c>
      <c r="J124" s="13" t="s">
        <v>428</v>
      </c>
      <c r="K124" s="20" t="str">
        <f t="shared" si="21"/>
        <v>2023/09/14</v>
      </c>
      <c r="L124" s="40" t="str">
        <f t="shared" ca="1" si="22"/>
        <v>0年8ヵ月23日</v>
      </c>
      <c r="M124" s="15">
        <v>29</v>
      </c>
      <c r="N124" s="15">
        <v>731</v>
      </c>
      <c r="O124" s="16">
        <f t="shared" si="15"/>
        <v>3.9671682626538987E-2</v>
      </c>
      <c r="P124" s="17"/>
      <c r="Q124" s="22">
        <f t="shared" ca="1" si="16"/>
        <v>0</v>
      </c>
      <c r="R124" s="38">
        <v>454</v>
      </c>
      <c r="S124" s="22">
        <f t="shared" ca="1" si="17"/>
        <v>51.203007518796987</v>
      </c>
      <c r="T124" s="22">
        <f t="shared" si="23"/>
        <v>0</v>
      </c>
      <c r="U124" s="17">
        <v>32</v>
      </c>
      <c r="V124" s="22">
        <f t="shared" ca="1" si="19"/>
        <v>3.6090225563909772</v>
      </c>
      <c r="W124" s="22">
        <f t="shared" si="20"/>
        <v>0</v>
      </c>
      <c r="X124" s="13" t="s">
        <v>442</v>
      </c>
    </row>
    <row r="125" spans="1:24" x14ac:dyDescent="0.4">
      <c r="A125" s="13" t="s">
        <v>73</v>
      </c>
      <c r="B125" s="13" t="s">
        <v>72</v>
      </c>
      <c r="C125" s="13" t="str">
        <f t="shared" si="12"/>
        <v>https://x.com/moeruwara</v>
      </c>
      <c r="D125" s="14">
        <v>45323</v>
      </c>
      <c r="E125" s="40" t="str">
        <f t="shared" ca="1" si="13"/>
        <v>0年4ヵ月</v>
      </c>
      <c r="F125" s="18"/>
      <c r="G125" s="19" t="s">
        <v>71</v>
      </c>
      <c r="H125" s="13" t="str">
        <f t="shared" si="14"/>
        <v>https://scratch.mit.edu/users/Soragami_Official/</v>
      </c>
      <c r="I125" s="21">
        <v>4</v>
      </c>
      <c r="J125" s="13" t="s">
        <v>428</v>
      </c>
      <c r="K125" s="20" t="str">
        <f t="shared" si="21"/>
        <v>2024/04/03</v>
      </c>
      <c r="L125" s="40" t="str">
        <f t="shared" ca="1" si="22"/>
        <v>0年2ヵ月3日</v>
      </c>
      <c r="M125" s="15">
        <v>1</v>
      </c>
      <c r="N125" s="15">
        <v>5</v>
      </c>
      <c r="O125" s="16">
        <f t="shared" si="15"/>
        <v>0.2</v>
      </c>
      <c r="P125" s="17">
        <v>6</v>
      </c>
      <c r="Q125" s="22">
        <f t="shared" ca="1" si="16"/>
        <v>2.8125</v>
      </c>
      <c r="R125" s="38">
        <v>278</v>
      </c>
      <c r="S125" s="22">
        <f t="shared" ca="1" si="17"/>
        <v>130.3125</v>
      </c>
      <c r="T125" s="22">
        <f t="shared" si="23"/>
        <v>46.333333333333336</v>
      </c>
      <c r="U125" s="17">
        <v>5</v>
      </c>
      <c r="V125" s="22">
        <f t="shared" ca="1" si="19"/>
        <v>2.34375</v>
      </c>
      <c r="W125" s="22">
        <f t="shared" si="20"/>
        <v>0.83333333333333337</v>
      </c>
      <c r="X125" s="13"/>
    </row>
    <row r="126" spans="1:24" x14ac:dyDescent="0.4">
      <c r="A126" s="13" t="s">
        <v>510</v>
      </c>
      <c r="B126" s="13" t="s">
        <v>511</v>
      </c>
      <c r="C126" s="13" t="str">
        <f t="shared" si="12"/>
        <v>https://x.com/momo_neeeko</v>
      </c>
      <c r="D126" s="14">
        <v>44621</v>
      </c>
      <c r="E126" s="21" t="str">
        <f t="shared" ca="1" si="13"/>
        <v>2年3ヵ月</v>
      </c>
      <c r="F126" s="18"/>
      <c r="G126" s="19" t="s">
        <v>510</v>
      </c>
      <c r="H126" s="13" t="str">
        <f t="shared" si="14"/>
        <v>https://scratch.mit.edu/users/momo_neeeko/</v>
      </c>
      <c r="I126" s="21">
        <v>4</v>
      </c>
      <c r="J126" s="13" t="s">
        <v>428</v>
      </c>
      <c r="K126" s="20" t="str">
        <f t="shared" si="21"/>
        <v>2022/06/02</v>
      </c>
      <c r="L126" s="40" t="str">
        <f t="shared" ca="1" si="22"/>
        <v>2年0ヵ月4日</v>
      </c>
      <c r="M126" s="15">
        <v>28</v>
      </c>
      <c r="N126" s="15">
        <v>329</v>
      </c>
      <c r="O126" s="16">
        <f t="shared" si="15"/>
        <v>8.5106382978723402E-2</v>
      </c>
      <c r="P126" s="17">
        <v>73</v>
      </c>
      <c r="Q126" s="22">
        <f t="shared" ca="1" si="16"/>
        <v>2.9795918367346941</v>
      </c>
      <c r="R126" s="38">
        <v>91</v>
      </c>
      <c r="S126" s="22">
        <f t="shared" ca="1" si="17"/>
        <v>3.7142857142857144</v>
      </c>
      <c r="T126" s="22">
        <f t="shared" si="23"/>
        <v>1.2465753424657535</v>
      </c>
      <c r="U126" s="17">
        <v>92</v>
      </c>
      <c r="V126" s="22">
        <f t="shared" ca="1" si="19"/>
        <v>3.7551020408163267</v>
      </c>
      <c r="W126" s="22">
        <f t="shared" si="20"/>
        <v>1.2602739726027397</v>
      </c>
      <c r="X126" s="13"/>
    </row>
    <row r="127" spans="1:24" x14ac:dyDescent="0.4">
      <c r="A127" s="13" t="s">
        <v>242</v>
      </c>
      <c r="B127" s="13" t="s">
        <v>460</v>
      </c>
      <c r="C127" s="13" t="str">
        <f t="shared" si="12"/>
        <v>https://x.com/ORIHI_SC</v>
      </c>
      <c r="D127" s="14">
        <v>44440</v>
      </c>
      <c r="E127" s="40" t="str">
        <f t="shared" ca="1" si="13"/>
        <v>2年9ヵ月</v>
      </c>
      <c r="F127" s="18"/>
      <c r="G127" s="19" t="s">
        <v>326</v>
      </c>
      <c r="H127" s="13" t="str">
        <f t="shared" si="14"/>
        <v>https://scratch.mit.edu/users/ORIHIKAZE/</v>
      </c>
      <c r="I127" s="21">
        <v>4</v>
      </c>
      <c r="J127" s="13" t="s">
        <v>428</v>
      </c>
      <c r="K127" s="20" t="str">
        <f t="shared" si="21"/>
        <v>2021/06/12</v>
      </c>
      <c r="L127" s="40" t="str">
        <f t="shared" ca="1" si="22"/>
        <v>2年11ヵ月25日</v>
      </c>
      <c r="M127" s="15">
        <v>29</v>
      </c>
      <c r="N127" s="15">
        <v>694</v>
      </c>
      <c r="O127" s="16">
        <f t="shared" si="15"/>
        <v>4.1786743515850142E-2</v>
      </c>
      <c r="P127" s="17">
        <v>9</v>
      </c>
      <c r="Q127" s="22">
        <f t="shared" ca="1" si="16"/>
        <v>0.24770642201834861</v>
      </c>
      <c r="R127" s="38">
        <v>965</v>
      </c>
      <c r="S127" s="22">
        <f t="shared" ca="1" si="17"/>
        <v>26.559633027522935</v>
      </c>
      <c r="T127" s="22">
        <f t="shared" si="23"/>
        <v>107.22222222222223</v>
      </c>
      <c r="U127" s="17">
        <v>147</v>
      </c>
      <c r="V127" s="22">
        <f t="shared" ca="1" si="19"/>
        <v>4.045871559633027</v>
      </c>
      <c r="W127" s="22">
        <f t="shared" si="20"/>
        <v>16.333333333333332</v>
      </c>
      <c r="X127" s="13"/>
    </row>
    <row r="128" spans="1:24" x14ac:dyDescent="0.4">
      <c r="A128" s="13" t="s">
        <v>58</v>
      </c>
      <c r="B128" s="13" t="s">
        <v>57</v>
      </c>
      <c r="C128" s="13" t="str">
        <f t="shared" si="12"/>
        <v>https://x.com/Pino_scr</v>
      </c>
      <c r="D128" s="14">
        <v>45231</v>
      </c>
      <c r="E128" s="40" t="str">
        <f t="shared" ca="1" si="13"/>
        <v>0年7ヵ月</v>
      </c>
      <c r="F128" s="18"/>
      <c r="G128" s="19" t="s">
        <v>56</v>
      </c>
      <c r="H128" s="13" t="str">
        <f t="shared" si="14"/>
        <v>https://scratch.mit.edu/users/pino_name/</v>
      </c>
      <c r="I128" s="21">
        <v>4</v>
      </c>
      <c r="J128" s="13" t="s">
        <v>428</v>
      </c>
      <c r="K128" s="20" t="str">
        <f t="shared" si="21"/>
        <v>2023/09/28</v>
      </c>
      <c r="L128" s="40" t="str">
        <f t="shared" ca="1" si="22"/>
        <v>0年8ヵ月9日</v>
      </c>
      <c r="M128" s="15">
        <v>261</v>
      </c>
      <c r="N128" s="15">
        <v>215</v>
      </c>
      <c r="O128" s="16">
        <f t="shared" si="15"/>
        <v>1.213953488372093</v>
      </c>
      <c r="P128" s="17">
        <v>37</v>
      </c>
      <c r="Q128" s="22">
        <f t="shared" ca="1" si="16"/>
        <v>4.4047619047619042</v>
      </c>
      <c r="R128" s="38">
        <v>717</v>
      </c>
      <c r="S128" s="22">
        <f t="shared" ca="1" si="17"/>
        <v>85.357142857142847</v>
      </c>
      <c r="T128" s="22">
        <f t="shared" si="23"/>
        <v>19.378378378378379</v>
      </c>
      <c r="U128" s="17">
        <v>529</v>
      </c>
      <c r="V128" s="22">
        <f t="shared" ca="1" si="19"/>
        <v>62.976190476190474</v>
      </c>
      <c r="W128" s="22">
        <f t="shared" si="20"/>
        <v>14.297297297297296</v>
      </c>
      <c r="X128" s="13"/>
    </row>
    <row r="129" spans="1:24" x14ac:dyDescent="0.4">
      <c r="A129" s="13" t="s">
        <v>44</v>
      </c>
      <c r="B129" s="13" t="s">
        <v>43</v>
      </c>
      <c r="C129" s="13" t="str">
        <f t="shared" si="12"/>
        <v>https://x.com/suzusiroyakomo</v>
      </c>
      <c r="D129" s="14">
        <v>45323</v>
      </c>
      <c r="E129" s="40" t="str">
        <f t="shared" ca="1" si="13"/>
        <v>0年4ヵ月</v>
      </c>
      <c r="F129" s="18"/>
      <c r="G129" s="19" t="s">
        <v>42</v>
      </c>
      <c r="H129" s="13" t="str">
        <f t="shared" si="14"/>
        <v>https://scratch.mit.edu/users/_yakomo-official_/</v>
      </c>
      <c r="I129" s="21">
        <v>4</v>
      </c>
      <c r="J129" s="13" t="s">
        <v>428</v>
      </c>
      <c r="K129" s="20" t="str">
        <f t="shared" si="21"/>
        <v>2024/03/28</v>
      </c>
      <c r="L129" s="40" t="str">
        <f t="shared" ca="1" si="22"/>
        <v>0年2ヵ月9日</v>
      </c>
      <c r="M129" s="15">
        <v>19</v>
      </c>
      <c r="N129" s="15">
        <v>51</v>
      </c>
      <c r="O129" s="16">
        <f t="shared" si="15"/>
        <v>0.37254901960784315</v>
      </c>
      <c r="P129" s="17">
        <v>6</v>
      </c>
      <c r="Q129" s="22">
        <f t="shared" ca="1" si="16"/>
        <v>2.5714285714285712</v>
      </c>
      <c r="R129" s="38">
        <v>36</v>
      </c>
      <c r="S129" s="22">
        <f t="shared" ca="1" si="17"/>
        <v>15.428571428571427</v>
      </c>
      <c r="T129" s="22">
        <f t="shared" si="23"/>
        <v>6</v>
      </c>
      <c r="U129" s="17">
        <v>21</v>
      </c>
      <c r="V129" s="22">
        <f t="shared" ca="1" si="19"/>
        <v>9</v>
      </c>
      <c r="W129" s="22">
        <f t="shared" si="20"/>
        <v>3.5</v>
      </c>
      <c r="X129" s="13"/>
    </row>
    <row r="130" spans="1:24" x14ac:dyDescent="0.4">
      <c r="A130" s="13" t="s">
        <v>133</v>
      </c>
      <c r="B130" s="13" t="s">
        <v>132</v>
      </c>
      <c r="C130" s="13" t="str">
        <f t="shared" ref="C130:C193" si="24">"https://x.com/"&amp;A130</f>
        <v>https://x.com/abee2</v>
      </c>
      <c r="D130" s="14">
        <v>39845</v>
      </c>
      <c r="E130" s="40" t="str">
        <f t="shared" ref="E130:E193" ca="1" si="25">DATEDIF($D130,TODAY(),"y")&amp;"年"&amp;DATEDIF($D130,TODAY(),"YM")&amp;"ヵ月"</f>
        <v>15年4ヵ月</v>
      </c>
      <c r="F130" s="18"/>
      <c r="G130" s="19" t="s">
        <v>131</v>
      </c>
      <c r="H130" s="13" t="str">
        <f t="shared" ref="H130:H193" si="26">"https://scratch.mit.edu/users/"&amp;G130&amp;"/"</f>
        <v>https://scratch.mit.edu/users/abee/</v>
      </c>
      <c r="I130" s="21">
        <v>5</v>
      </c>
      <c r="J130" s="13" t="s">
        <v>431</v>
      </c>
      <c r="K130" s="20" t="str">
        <f t="shared" si="21"/>
        <v>2007/05/19</v>
      </c>
      <c r="L130" s="40" t="str">
        <f t="shared" ca="1" si="22"/>
        <v>17年0ヵ月18日</v>
      </c>
      <c r="M130" s="15">
        <v>956</v>
      </c>
      <c r="N130" s="15">
        <v>4527</v>
      </c>
      <c r="O130" s="16">
        <f t="shared" ref="O130:O193" si="27">M130/N130</f>
        <v>0.21117738016346366</v>
      </c>
      <c r="P130" s="17">
        <v>774</v>
      </c>
      <c r="Q130" s="22">
        <f t="shared" ref="Q130:Q193" ca="1" si="28">IFERROR(P130/(DATEDIF(K130,TODAY(),"d")/30),0)</f>
        <v>3.7283236994219653</v>
      </c>
      <c r="R130" s="38">
        <v>2676</v>
      </c>
      <c r="S130" s="22">
        <f t="shared" ref="S130:S193" ca="1" si="29">IFERROR(R130/(DATEDIF($K130,TODAY(),"d")/30),0)</f>
        <v>12.890173410404625</v>
      </c>
      <c r="T130" s="22">
        <f t="shared" ref="T130:T141" si="30">IFERROR(R130/$P130,0)</f>
        <v>3.4573643410852712</v>
      </c>
      <c r="U130" s="17">
        <v>1187</v>
      </c>
      <c r="V130" s="22">
        <f t="shared" ref="V130:V193" ca="1" si="31">IFERROR(U130/(DATEDIF(K130,TODAY(),"d")/30),0)</f>
        <v>5.7177263969171488</v>
      </c>
      <c r="W130" s="22">
        <f t="shared" ref="W130:W193" si="32">IFERROR(U130/$P130,0)</f>
        <v>1.5335917312661498</v>
      </c>
      <c r="X130" s="13"/>
    </row>
    <row r="131" spans="1:24" x14ac:dyDescent="0.4">
      <c r="A131" s="25" t="s">
        <v>79</v>
      </c>
      <c r="B131" s="13" t="s">
        <v>80</v>
      </c>
      <c r="C131" s="13" t="str">
        <f t="shared" si="24"/>
        <v>https://x.com/logic_lab</v>
      </c>
      <c r="D131" s="14">
        <v>41974</v>
      </c>
      <c r="E131" s="40" t="str">
        <f t="shared" ca="1" si="25"/>
        <v>9年6ヵ月</v>
      </c>
      <c r="F131" s="18"/>
      <c r="G131" s="19" t="s">
        <v>79</v>
      </c>
      <c r="H131" s="13" t="str">
        <f t="shared" si="26"/>
        <v>https://scratch.mit.edu/users/logic_lab/</v>
      </c>
      <c r="I131" s="21">
        <v>5</v>
      </c>
      <c r="J131" s="13" t="s">
        <v>431</v>
      </c>
      <c r="K131" s="20" t="str">
        <f t="shared" ref="K131:K194" si="33">SUBSTITUTE(MID(_xlfn.WEBSERVICE("https://api.scratch.mit.edu/users/"&amp;$G131),FIND("joined",_xlfn.WEBSERVICE("https://api.scratch.mit.edu/users/"&amp;$G131))+9,10),"-","/")</f>
        <v>2014/12/12</v>
      </c>
      <c r="L131" s="40" t="str">
        <f t="shared" ref="L131:L194" ca="1" si="34">DATEDIF($K131,TODAY(),"y")&amp;"年"&amp;DATEDIF($K131,TODAY(),"YM")&amp;"ヵ月"&amp;DATEDIF($K131,TODAY(),"md")&amp;"日"</f>
        <v>9年5ヵ月25日</v>
      </c>
      <c r="M131" s="15">
        <v>834</v>
      </c>
      <c r="N131" s="15">
        <v>7444</v>
      </c>
      <c r="O131" s="16">
        <f t="shared" si="27"/>
        <v>0.11203653949489521</v>
      </c>
      <c r="P131" s="17">
        <v>313</v>
      </c>
      <c r="Q131" s="22">
        <f t="shared" ca="1" si="28"/>
        <v>2.7107390300230945</v>
      </c>
      <c r="R131" s="38">
        <v>722</v>
      </c>
      <c r="S131" s="22">
        <f t="shared" ca="1" si="29"/>
        <v>6.2528868360277139</v>
      </c>
      <c r="T131" s="22">
        <f t="shared" si="30"/>
        <v>2.3067092651757188</v>
      </c>
      <c r="U131" s="17">
        <v>467</v>
      </c>
      <c r="V131" s="22">
        <f t="shared" ca="1" si="31"/>
        <v>4.0444572748267902</v>
      </c>
      <c r="W131" s="22">
        <f t="shared" si="32"/>
        <v>1.4920127795527156</v>
      </c>
      <c r="X131" s="13"/>
    </row>
    <row r="132" spans="1:24" x14ac:dyDescent="0.4">
      <c r="A132" s="13" t="s">
        <v>229</v>
      </c>
      <c r="B132" s="13" t="s">
        <v>453</v>
      </c>
      <c r="C132" s="13" t="str">
        <f t="shared" si="24"/>
        <v>https://x.com/nakakoutv</v>
      </c>
      <c r="D132" s="14">
        <v>43891</v>
      </c>
      <c r="E132" s="40" t="str">
        <f t="shared" ca="1" si="25"/>
        <v>4年3ヵ月</v>
      </c>
      <c r="F132" s="18"/>
      <c r="G132" s="19" t="s">
        <v>320</v>
      </c>
      <c r="H132" s="13" t="str">
        <f t="shared" si="26"/>
        <v>https://scratch.mit.edu/users/nakakouTV/</v>
      </c>
      <c r="I132" s="21">
        <v>5</v>
      </c>
      <c r="J132" s="13" t="s">
        <v>431</v>
      </c>
      <c r="K132" s="20" t="str">
        <f t="shared" si="33"/>
        <v>2019/09/08</v>
      </c>
      <c r="L132" s="40" t="str">
        <f t="shared" ca="1" si="34"/>
        <v>4年8ヵ月29日</v>
      </c>
      <c r="M132" s="15">
        <v>171</v>
      </c>
      <c r="N132" s="15">
        <v>2382</v>
      </c>
      <c r="O132" s="16">
        <f t="shared" si="27"/>
        <v>7.1788413098236775E-2</v>
      </c>
      <c r="P132" s="17">
        <v>38</v>
      </c>
      <c r="Q132" s="22">
        <f t="shared" ca="1" si="28"/>
        <v>0.6578188113098673</v>
      </c>
      <c r="R132" s="38">
        <v>375</v>
      </c>
      <c r="S132" s="22">
        <f t="shared" ca="1" si="29"/>
        <v>6.4916330063473744</v>
      </c>
      <c r="T132" s="22">
        <f t="shared" si="30"/>
        <v>9.8684210526315788</v>
      </c>
      <c r="U132" s="17">
        <v>226</v>
      </c>
      <c r="V132" s="22">
        <f t="shared" ca="1" si="31"/>
        <v>3.9122908251586845</v>
      </c>
      <c r="W132" s="22">
        <f t="shared" si="32"/>
        <v>5.9473684210526319</v>
      </c>
      <c r="X132" s="13"/>
    </row>
    <row r="133" spans="1:24" x14ac:dyDescent="0.4">
      <c r="A133" s="13" t="s">
        <v>580</v>
      </c>
      <c r="B133" s="13" t="s">
        <v>581</v>
      </c>
      <c r="C133" s="13" t="str">
        <f t="shared" si="24"/>
        <v>https://x.com/ningennnoyouna</v>
      </c>
      <c r="D133" s="14">
        <v>45292</v>
      </c>
      <c r="E133" s="21" t="str">
        <f t="shared" ca="1" si="25"/>
        <v>0年5ヵ月</v>
      </c>
      <c r="F133" s="18"/>
      <c r="G133" s="19" t="s">
        <v>581</v>
      </c>
      <c r="H133" s="13" t="str">
        <f t="shared" si="26"/>
        <v>https://scratch.mit.edu/users/ninngennnoyounahito/</v>
      </c>
      <c r="I133" s="21">
        <v>5</v>
      </c>
      <c r="J133" s="13" t="s">
        <v>431</v>
      </c>
      <c r="K133" s="20" t="str">
        <f t="shared" si="33"/>
        <v>2022/01/14</v>
      </c>
      <c r="L133" s="40" t="str">
        <f t="shared" ca="1" si="34"/>
        <v>2年4ヵ月23日</v>
      </c>
      <c r="M133" s="15">
        <v>38</v>
      </c>
      <c r="N133" s="15">
        <v>27</v>
      </c>
      <c r="O133" s="16">
        <f t="shared" si="27"/>
        <v>1.4074074074074074</v>
      </c>
      <c r="P133" s="17">
        <v>11</v>
      </c>
      <c r="Q133" s="22">
        <f t="shared" ca="1" si="28"/>
        <v>0.37757437070938216</v>
      </c>
      <c r="R133" s="38">
        <v>21</v>
      </c>
      <c r="S133" s="22">
        <f t="shared" ca="1" si="29"/>
        <v>0.7208237986270023</v>
      </c>
      <c r="T133" s="22">
        <f t="shared" si="30"/>
        <v>1.9090909090909092</v>
      </c>
      <c r="U133" s="17">
        <v>37</v>
      </c>
      <c r="V133" s="22">
        <f t="shared" ca="1" si="31"/>
        <v>1.2700228832951945</v>
      </c>
      <c r="W133" s="22">
        <f t="shared" si="32"/>
        <v>3.3636363636363638</v>
      </c>
      <c r="X133" s="13"/>
    </row>
    <row r="134" spans="1:24" x14ac:dyDescent="0.4">
      <c r="A134" s="13" t="s">
        <v>245</v>
      </c>
      <c r="B134" s="13" t="s">
        <v>246</v>
      </c>
      <c r="C134" s="13" t="str">
        <f t="shared" si="24"/>
        <v>https://x.com/qramo</v>
      </c>
      <c r="D134" s="14">
        <v>39173</v>
      </c>
      <c r="E134" s="40" t="str">
        <f t="shared" ca="1" si="25"/>
        <v>17年2ヵ月</v>
      </c>
      <c r="F134" s="18"/>
      <c r="G134" s="19" t="s">
        <v>245</v>
      </c>
      <c r="H134" s="13" t="str">
        <f t="shared" si="26"/>
        <v>https://scratch.mit.edu/users/qramo/</v>
      </c>
      <c r="I134" s="21">
        <v>5</v>
      </c>
      <c r="J134" s="13" t="s">
        <v>431</v>
      </c>
      <c r="K134" s="20" t="str">
        <f t="shared" si="33"/>
        <v>2008/03/22</v>
      </c>
      <c r="L134" s="40" t="str">
        <f t="shared" ca="1" si="34"/>
        <v>16年2ヵ月15日</v>
      </c>
      <c r="M134" s="15">
        <v>289</v>
      </c>
      <c r="N134" s="15">
        <v>491</v>
      </c>
      <c r="O134" s="16">
        <f t="shared" si="27"/>
        <v>0.58859470468431774</v>
      </c>
      <c r="P134" s="17">
        <v>847</v>
      </c>
      <c r="Q134" s="22">
        <f t="shared" ca="1" si="28"/>
        <v>4.2922297297297298</v>
      </c>
      <c r="R134" s="38">
        <v>216</v>
      </c>
      <c r="S134" s="22">
        <f t="shared" ca="1" si="29"/>
        <v>1.0945945945945945</v>
      </c>
      <c r="T134" s="22">
        <f t="shared" si="30"/>
        <v>0.25501770956316411</v>
      </c>
      <c r="U134" s="17">
        <v>182</v>
      </c>
      <c r="V134" s="22">
        <f t="shared" ca="1" si="31"/>
        <v>0.92229729729729726</v>
      </c>
      <c r="W134" s="22">
        <f t="shared" si="32"/>
        <v>0.21487603305785125</v>
      </c>
      <c r="X134" s="13"/>
    </row>
    <row r="135" spans="1:24" x14ac:dyDescent="0.4">
      <c r="A135" s="13" t="s">
        <v>457</v>
      </c>
      <c r="B135" s="13" t="s">
        <v>458</v>
      </c>
      <c r="C135" s="13" t="str">
        <f t="shared" si="24"/>
        <v>https://x.com/Yuk3u</v>
      </c>
      <c r="D135" s="14">
        <v>44835</v>
      </c>
      <c r="E135" s="21" t="str">
        <f t="shared" ca="1" si="25"/>
        <v>1年8ヵ月</v>
      </c>
      <c r="F135" s="18"/>
      <c r="G135" s="19" t="s">
        <v>459</v>
      </c>
      <c r="H135" s="13" t="str">
        <f t="shared" si="26"/>
        <v>https://scratch.mit.edu/users/yukku/</v>
      </c>
      <c r="I135" s="21">
        <v>5</v>
      </c>
      <c r="J135" s="13" t="s">
        <v>431</v>
      </c>
      <c r="K135" s="20" t="str">
        <f t="shared" si="33"/>
        <v>2016/05/04</v>
      </c>
      <c r="L135" s="40" t="str">
        <f t="shared" ca="1" si="34"/>
        <v>8年1ヵ月2日</v>
      </c>
      <c r="M135" s="15">
        <v>52</v>
      </c>
      <c r="N135" s="15">
        <v>2192</v>
      </c>
      <c r="O135" s="16">
        <f t="shared" si="27"/>
        <v>2.3722627737226276E-2</v>
      </c>
      <c r="P135" s="17">
        <v>354</v>
      </c>
      <c r="Q135" s="22">
        <f t="shared" ca="1" si="28"/>
        <v>3.5939086294416245</v>
      </c>
      <c r="R135" s="38">
        <v>35</v>
      </c>
      <c r="S135" s="22">
        <f t="shared" ca="1" si="29"/>
        <v>0.35532994923857869</v>
      </c>
      <c r="T135" s="22">
        <f t="shared" si="30"/>
        <v>9.8870056497175146E-2</v>
      </c>
      <c r="U135" s="17">
        <v>51</v>
      </c>
      <c r="V135" s="22">
        <f t="shared" ca="1" si="31"/>
        <v>0.51776649746192893</v>
      </c>
      <c r="W135" s="22">
        <f t="shared" si="32"/>
        <v>0.1440677966101695</v>
      </c>
      <c r="X135" s="13"/>
    </row>
    <row r="136" spans="1:24" x14ac:dyDescent="0.4">
      <c r="A136" s="13" t="s">
        <v>152</v>
      </c>
      <c r="B136" s="13" t="s">
        <v>153</v>
      </c>
      <c r="C136" s="13" t="str">
        <f t="shared" si="24"/>
        <v>https://x.com/_mumei_jp_1</v>
      </c>
      <c r="D136" s="14">
        <v>45139</v>
      </c>
      <c r="E136" s="40" t="str">
        <f t="shared" ca="1" si="25"/>
        <v>0年10ヵ月</v>
      </c>
      <c r="F136" s="18"/>
      <c r="G136" s="19" t="s">
        <v>282</v>
      </c>
      <c r="H136" s="13" t="str">
        <f t="shared" si="26"/>
        <v>https://scratch.mit.edu/users/_mumei_jp_/</v>
      </c>
      <c r="I136" s="21">
        <v>6</v>
      </c>
      <c r="J136" s="13" t="s">
        <v>433</v>
      </c>
      <c r="K136" s="20" t="str">
        <f t="shared" si="33"/>
        <v>2023/07/30</v>
      </c>
      <c r="L136" s="40" t="str">
        <f t="shared" ca="1" si="34"/>
        <v>0年10ヵ月7日</v>
      </c>
      <c r="M136" s="15">
        <v>23</v>
      </c>
      <c r="N136" s="15">
        <v>4</v>
      </c>
      <c r="O136" s="16">
        <f t="shared" si="27"/>
        <v>5.75</v>
      </c>
      <c r="P136" s="17">
        <v>1</v>
      </c>
      <c r="Q136" s="22">
        <f t="shared" ca="1" si="28"/>
        <v>9.6153846153846145E-2</v>
      </c>
      <c r="R136" s="38">
        <v>8</v>
      </c>
      <c r="S136" s="22">
        <f t="shared" ca="1" si="29"/>
        <v>0.76923076923076916</v>
      </c>
      <c r="T136" s="22">
        <f t="shared" si="30"/>
        <v>8</v>
      </c>
      <c r="U136" s="17">
        <v>1</v>
      </c>
      <c r="V136" s="22">
        <f t="shared" ca="1" si="31"/>
        <v>9.6153846153846145E-2</v>
      </c>
      <c r="W136" s="22">
        <f t="shared" si="32"/>
        <v>1</v>
      </c>
      <c r="X136" s="13"/>
    </row>
    <row r="137" spans="1:24" x14ac:dyDescent="0.4">
      <c r="A137" s="13" t="s">
        <v>141</v>
      </c>
      <c r="B137" s="13" t="s">
        <v>140</v>
      </c>
      <c r="C137" s="13" t="str">
        <f t="shared" si="24"/>
        <v>https://x.com/_tensaichicken_</v>
      </c>
      <c r="D137" s="14">
        <v>45108</v>
      </c>
      <c r="E137" s="40" t="str">
        <f t="shared" ca="1" si="25"/>
        <v>0年11ヵ月</v>
      </c>
      <c r="F137" s="18"/>
      <c r="G137" s="19" t="s">
        <v>140</v>
      </c>
      <c r="H137" s="13" t="str">
        <f t="shared" si="26"/>
        <v>https://scratch.mit.edu/users/tensaichicken/</v>
      </c>
      <c r="I137" s="21">
        <v>6</v>
      </c>
      <c r="J137" s="13" t="s">
        <v>433</v>
      </c>
      <c r="K137" s="20" t="str">
        <f t="shared" si="33"/>
        <v>2022/11/26</v>
      </c>
      <c r="L137" s="40" t="str">
        <f t="shared" ca="1" si="34"/>
        <v>1年6ヵ月11日</v>
      </c>
      <c r="M137" s="15">
        <v>101</v>
      </c>
      <c r="N137" s="15">
        <v>1057</v>
      </c>
      <c r="O137" s="16">
        <f t="shared" si="27"/>
        <v>9.5553453169347213E-2</v>
      </c>
      <c r="P137" s="17">
        <v>30</v>
      </c>
      <c r="Q137" s="22">
        <f t="shared" ca="1" si="28"/>
        <v>1.6129032258064515</v>
      </c>
      <c r="R137" s="38">
        <v>1779</v>
      </c>
      <c r="S137" s="22">
        <f t="shared" ca="1" si="29"/>
        <v>95.645161290322577</v>
      </c>
      <c r="T137" s="22">
        <f t="shared" si="30"/>
        <v>59.3</v>
      </c>
      <c r="U137" s="17">
        <v>1785</v>
      </c>
      <c r="V137" s="22">
        <f t="shared" ca="1" si="31"/>
        <v>95.967741935483858</v>
      </c>
      <c r="W137" s="22">
        <f t="shared" si="32"/>
        <v>59.5</v>
      </c>
      <c r="X137" s="13"/>
    </row>
    <row r="138" spans="1:24" x14ac:dyDescent="0.4">
      <c r="A138" s="13" t="s">
        <v>393</v>
      </c>
      <c r="B138" s="13" t="s">
        <v>151</v>
      </c>
      <c r="C138" s="13" t="str">
        <f t="shared" si="24"/>
        <v>https://x.com/_THIA_K</v>
      </c>
      <c r="D138" s="14">
        <v>45078</v>
      </c>
      <c r="E138" s="40" t="str">
        <f t="shared" ca="1" si="25"/>
        <v>1年0ヵ月</v>
      </c>
      <c r="F138" s="18"/>
      <c r="G138" s="19" t="s">
        <v>281</v>
      </c>
      <c r="H138" s="13" t="str">
        <f t="shared" si="26"/>
        <v>https://scratch.mit.edu/users/---_--_--_--_--_---/</v>
      </c>
      <c r="I138" s="21">
        <v>6</v>
      </c>
      <c r="J138" s="13" t="s">
        <v>433</v>
      </c>
      <c r="K138" s="20" t="str">
        <f t="shared" si="33"/>
        <v>2023/02/10</v>
      </c>
      <c r="L138" s="40" t="str">
        <f t="shared" ca="1" si="34"/>
        <v>1年3ヵ月27日</v>
      </c>
      <c r="M138" s="15">
        <v>5</v>
      </c>
      <c r="N138" s="15">
        <v>49</v>
      </c>
      <c r="O138" s="16">
        <f t="shared" si="27"/>
        <v>0.10204081632653061</v>
      </c>
      <c r="P138" s="17">
        <v>0</v>
      </c>
      <c r="Q138" s="22">
        <f t="shared" ca="1" si="28"/>
        <v>0</v>
      </c>
      <c r="R138" s="38">
        <v>6</v>
      </c>
      <c r="S138" s="22">
        <f t="shared" ca="1" si="29"/>
        <v>0.37344398340248963</v>
      </c>
      <c r="T138" s="22">
        <f t="shared" si="30"/>
        <v>0</v>
      </c>
      <c r="U138" s="17">
        <v>4</v>
      </c>
      <c r="V138" s="22">
        <f t="shared" ca="1" si="31"/>
        <v>0.24896265560165975</v>
      </c>
      <c r="W138" s="22">
        <f t="shared" si="32"/>
        <v>0</v>
      </c>
      <c r="X138" s="13"/>
    </row>
    <row r="139" spans="1:24" x14ac:dyDescent="0.4">
      <c r="A139" s="13" t="s">
        <v>139</v>
      </c>
      <c r="B139" s="13" t="s">
        <v>138</v>
      </c>
      <c r="C139" s="13" t="str">
        <f t="shared" si="24"/>
        <v>https://x.com/_Xx_0o_o0_xX_</v>
      </c>
      <c r="D139" s="14">
        <v>45017</v>
      </c>
      <c r="E139" s="40" t="str">
        <f t="shared" ca="1" si="25"/>
        <v>1年2ヵ月</v>
      </c>
      <c r="F139" s="18"/>
      <c r="G139" s="19" t="s">
        <v>137</v>
      </c>
      <c r="H139" s="13" t="str">
        <f t="shared" si="26"/>
        <v>https://scratch.mit.edu/users/-Xx_Oo_oO_xX-/</v>
      </c>
      <c r="I139" s="21">
        <v>6</v>
      </c>
      <c r="J139" s="13" t="s">
        <v>433</v>
      </c>
      <c r="K139" s="20" t="str">
        <f t="shared" si="33"/>
        <v>2022/07/01</v>
      </c>
      <c r="L139" s="40" t="str">
        <f t="shared" ca="1" si="34"/>
        <v>1年11ヵ月5日</v>
      </c>
      <c r="M139" s="15">
        <v>42</v>
      </c>
      <c r="N139" s="15">
        <v>107</v>
      </c>
      <c r="O139" s="16">
        <f t="shared" si="27"/>
        <v>0.3925233644859813</v>
      </c>
      <c r="P139" s="17">
        <v>1</v>
      </c>
      <c r="Q139" s="22">
        <f t="shared" ca="1" si="28"/>
        <v>4.249291784702549E-2</v>
      </c>
      <c r="R139" s="38">
        <v>212</v>
      </c>
      <c r="S139" s="22">
        <f t="shared" ca="1" si="29"/>
        <v>9.0084985835694038</v>
      </c>
      <c r="T139" s="22">
        <f t="shared" si="30"/>
        <v>212</v>
      </c>
      <c r="U139" s="17">
        <v>119</v>
      </c>
      <c r="V139" s="22">
        <f t="shared" ca="1" si="31"/>
        <v>5.0566572237960337</v>
      </c>
      <c r="W139" s="22">
        <f t="shared" si="32"/>
        <v>119</v>
      </c>
      <c r="X139" s="13"/>
    </row>
    <row r="140" spans="1:24" x14ac:dyDescent="0.4">
      <c r="A140" s="13" t="s">
        <v>540</v>
      </c>
      <c r="B140" s="13" t="s">
        <v>541</v>
      </c>
      <c r="C140" s="13" t="str">
        <f t="shared" si="24"/>
        <v>https://x.com/06552355x</v>
      </c>
      <c r="D140" s="14">
        <v>45139</v>
      </c>
      <c r="E140" s="21" t="str">
        <f t="shared" ca="1" si="25"/>
        <v>0年10ヵ月</v>
      </c>
      <c r="F140" s="18"/>
      <c r="G140" s="19" t="s">
        <v>541</v>
      </c>
      <c r="H140" s="13" t="str">
        <f t="shared" si="26"/>
        <v>https://scratch.mit.edu/users/_AGEPANN/</v>
      </c>
      <c r="I140" s="21">
        <v>6</v>
      </c>
      <c r="J140" s="13" t="s">
        <v>433</v>
      </c>
      <c r="K140" s="20" t="str">
        <f t="shared" si="33"/>
        <v>2023/09/16</v>
      </c>
      <c r="L140" s="40" t="str">
        <f t="shared" ca="1" si="34"/>
        <v>0年8ヵ月21日</v>
      </c>
      <c r="M140" s="15">
        <v>6</v>
      </c>
      <c r="N140" s="15">
        <v>284</v>
      </c>
      <c r="O140" s="16">
        <f t="shared" si="27"/>
        <v>2.1126760563380281E-2</v>
      </c>
      <c r="P140" s="17">
        <v>11</v>
      </c>
      <c r="Q140" s="22">
        <f t="shared" ca="1" si="28"/>
        <v>1.25</v>
      </c>
      <c r="R140" s="38">
        <v>1120</v>
      </c>
      <c r="S140" s="22">
        <f t="shared" ca="1" si="29"/>
        <v>127.27272727272727</v>
      </c>
      <c r="T140" s="22">
        <f t="shared" si="30"/>
        <v>101.81818181818181</v>
      </c>
      <c r="U140" s="17">
        <v>1122</v>
      </c>
      <c r="V140" s="22">
        <f t="shared" ca="1" si="31"/>
        <v>127.49999999999999</v>
      </c>
      <c r="W140" s="22">
        <f t="shared" si="32"/>
        <v>102</v>
      </c>
      <c r="X140" s="13"/>
    </row>
    <row r="141" spans="1:24" x14ac:dyDescent="0.4">
      <c r="A141" s="13" t="s">
        <v>574</v>
      </c>
      <c r="B141" s="13" t="s">
        <v>575</v>
      </c>
      <c r="C141" s="13" t="str">
        <f t="shared" si="24"/>
        <v>https://x.com/17yBetelgeuse</v>
      </c>
      <c r="D141" s="14">
        <v>44013</v>
      </c>
      <c r="E141" s="21" t="str">
        <f t="shared" ca="1" si="25"/>
        <v>3年11ヵ月</v>
      </c>
      <c r="F141" s="18"/>
      <c r="G141" s="19" t="s">
        <v>576</v>
      </c>
      <c r="H141" s="13" t="str">
        <f t="shared" si="26"/>
        <v>https://scratch.mit.edu/users/betelgeuse_17y/</v>
      </c>
      <c r="I141" s="21">
        <v>6</v>
      </c>
      <c r="J141" s="13" t="s">
        <v>433</v>
      </c>
      <c r="K141" s="20" t="str">
        <f t="shared" si="33"/>
        <v>2019/02/28</v>
      </c>
      <c r="L141" s="40" t="str">
        <f t="shared" ca="1" si="34"/>
        <v>5年3ヵ月9日</v>
      </c>
      <c r="M141" s="15">
        <v>128</v>
      </c>
      <c r="N141" s="15">
        <v>670</v>
      </c>
      <c r="O141" s="16">
        <f t="shared" si="27"/>
        <v>0.19104477611940299</v>
      </c>
      <c r="P141" s="17">
        <v>469</v>
      </c>
      <c r="Q141" s="22">
        <f t="shared" ca="1" si="28"/>
        <v>7.3090909090909086</v>
      </c>
      <c r="R141" s="38">
        <v>687</v>
      </c>
      <c r="S141" s="22">
        <f t="shared" ca="1" si="29"/>
        <v>10.706493506493505</v>
      </c>
      <c r="T141" s="22">
        <f t="shared" si="30"/>
        <v>1.464818763326226</v>
      </c>
      <c r="U141" s="17">
        <v>627</v>
      </c>
      <c r="V141" s="22">
        <f t="shared" ca="1" si="31"/>
        <v>9.7714285714285705</v>
      </c>
      <c r="W141" s="22">
        <f t="shared" si="32"/>
        <v>1.3368869936034116</v>
      </c>
      <c r="X141" s="13"/>
    </row>
    <row r="142" spans="1:24" x14ac:dyDescent="0.4">
      <c r="A142" s="13" t="s">
        <v>590</v>
      </c>
      <c r="B142" s="13" t="s">
        <v>591</v>
      </c>
      <c r="C142" s="13" t="str">
        <f t="shared" si="24"/>
        <v>https://x.com/2030scratch</v>
      </c>
      <c r="D142" s="14">
        <v>45292</v>
      </c>
      <c r="E142" s="21" t="str">
        <f t="shared" ca="1" si="25"/>
        <v>0年5ヵ月</v>
      </c>
      <c r="F142" s="18"/>
      <c r="G142" s="19" t="s">
        <v>592</v>
      </c>
      <c r="H142" s="13" t="str">
        <f t="shared" si="26"/>
        <v>https://scratch.mit.edu/users/2030sdgs/</v>
      </c>
      <c r="I142" s="21">
        <v>6</v>
      </c>
      <c r="J142" s="13" t="s">
        <v>433</v>
      </c>
      <c r="K142" s="20" t="str">
        <f t="shared" si="33"/>
        <v>2021/09/07</v>
      </c>
      <c r="L142" s="40" t="str">
        <f t="shared" ca="1" si="34"/>
        <v>2年8ヵ月30日</v>
      </c>
      <c r="M142" s="15">
        <v>1102</v>
      </c>
      <c r="N142" s="15">
        <v>638</v>
      </c>
      <c r="O142" s="16">
        <f t="shared" si="27"/>
        <v>1.7272727272727273</v>
      </c>
      <c r="P142" s="17">
        <v>385</v>
      </c>
      <c r="Q142" s="22">
        <f t="shared" ca="1" si="28"/>
        <v>11.515453639082754</v>
      </c>
      <c r="R142" s="38">
        <v>2433</v>
      </c>
      <c r="S142" s="22">
        <f t="shared" ca="1" si="29"/>
        <v>72.771684945164509</v>
      </c>
      <c r="T142" s="22">
        <v>402</v>
      </c>
      <c r="U142" s="17">
        <v>2431</v>
      </c>
      <c r="V142" s="22">
        <f t="shared" ca="1" si="31"/>
        <v>72.711864406779668</v>
      </c>
      <c r="W142" s="22">
        <f t="shared" si="32"/>
        <v>6.3142857142857141</v>
      </c>
      <c r="X142" s="13"/>
    </row>
    <row r="143" spans="1:24" x14ac:dyDescent="0.4">
      <c r="A143" s="13" t="s">
        <v>515</v>
      </c>
      <c r="B143" s="13" t="s">
        <v>516</v>
      </c>
      <c r="C143" s="13" t="str">
        <f t="shared" si="24"/>
        <v>https://x.com/46491cat</v>
      </c>
      <c r="D143" s="14">
        <v>45261</v>
      </c>
      <c r="E143" s="21" t="str">
        <f t="shared" ca="1" si="25"/>
        <v>0年6ヵ月</v>
      </c>
      <c r="F143" s="18"/>
      <c r="G143" s="19" t="s">
        <v>517</v>
      </c>
      <c r="H143" s="13" t="str">
        <f t="shared" si="26"/>
        <v>https://scratch.mit.edu/users/Cat-tiger-/</v>
      </c>
      <c r="I143" s="21">
        <v>6</v>
      </c>
      <c r="J143" s="13" t="s">
        <v>433</v>
      </c>
      <c r="K143" s="20" t="str">
        <f t="shared" si="33"/>
        <v>2023/07/01</v>
      </c>
      <c r="L143" s="40" t="str">
        <f t="shared" ca="1" si="34"/>
        <v>0年11ヵ月5日</v>
      </c>
      <c r="M143" s="15">
        <v>30</v>
      </c>
      <c r="N143" s="15">
        <v>108</v>
      </c>
      <c r="O143" s="16">
        <f t="shared" si="27"/>
        <v>0.27777777777777779</v>
      </c>
      <c r="P143" s="17">
        <v>10</v>
      </c>
      <c r="Q143" s="22">
        <f t="shared" ca="1" si="28"/>
        <v>0.87976539589442815</v>
      </c>
      <c r="R143" s="38">
        <v>195</v>
      </c>
      <c r="S143" s="22">
        <f t="shared" ca="1" si="29"/>
        <v>17.15542521994135</v>
      </c>
      <c r="T143" s="22">
        <f t="shared" ref="T143:T190" si="35">IFERROR(R143/$P143,0)</f>
        <v>19.5</v>
      </c>
      <c r="U143" s="17">
        <v>56</v>
      </c>
      <c r="V143" s="22">
        <f t="shared" ca="1" si="31"/>
        <v>4.9266862170087977</v>
      </c>
      <c r="W143" s="22">
        <f t="shared" si="32"/>
        <v>5.6</v>
      </c>
      <c r="X143" s="13"/>
    </row>
    <row r="144" spans="1:24" x14ac:dyDescent="0.4">
      <c r="A144" s="13" t="s">
        <v>136</v>
      </c>
      <c r="B144" s="13" t="s">
        <v>135</v>
      </c>
      <c r="C144" s="13" t="str">
        <f t="shared" si="24"/>
        <v>https://x.com/99_GHKk</v>
      </c>
      <c r="D144" s="14">
        <v>44986</v>
      </c>
      <c r="E144" s="40" t="str">
        <f t="shared" ca="1" si="25"/>
        <v>1年3ヵ月</v>
      </c>
      <c r="F144" s="18"/>
      <c r="G144" s="19" t="s">
        <v>134</v>
      </c>
      <c r="H144" s="13" t="str">
        <f t="shared" si="26"/>
        <v>https://scratch.mit.edu/users/GHKk_99/</v>
      </c>
      <c r="I144" s="21">
        <v>6</v>
      </c>
      <c r="J144" s="13" t="s">
        <v>434</v>
      </c>
      <c r="K144" s="20" t="str">
        <f t="shared" si="33"/>
        <v>2022/05/09</v>
      </c>
      <c r="L144" s="40" t="str">
        <f t="shared" ca="1" si="34"/>
        <v>2年0ヵ月28日</v>
      </c>
      <c r="M144" s="15">
        <v>684</v>
      </c>
      <c r="N144" s="15">
        <v>653</v>
      </c>
      <c r="O144" s="16">
        <f t="shared" si="27"/>
        <v>1.0474732006125573</v>
      </c>
      <c r="P144" s="17">
        <v>294</v>
      </c>
      <c r="Q144" s="22">
        <f t="shared" ca="1" si="28"/>
        <v>11.620553359683795</v>
      </c>
      <c r="R144" s="38">
        <v>1971</v>
      </c>
      <c r="S144" s="22">
        <f t="shared" ca="1" si="29"/>
        <v>77.905138339920953</v>
      </c>
      <c r="T144" s="22">
        <f t="shared" si="35"/>
        <v>6.704081632653061</v>
      </c>
      <c r="U144" s="17">
        <v>1565</v>
      </c>
      <c r="V144" s="22">
        <f t="shared" ca="1" si="31"/>
        <v>61.857707509881422</v>
      </c>
      <c r="W144" s="22">
        <f t="shared" si="32"/>
        <v>5.3231292517006805</v>
      </c>
      <c r="X144" s="13"/>
    </row>
    <row r="145" spans="1:24" x14ac:dyDescent="0.4">
      <c r="A145" s="13" t="s">
        <v>128</v>
      </c>
      <c r="B145" s="13" t="s">
        <v>127</v>
      </c>
      <c r="C145" s="13" t="str">
        <f t="shared" si="24"/>
        <v>https://x.com/appleca71514618</v>
      </c>
      <c r="D145" s="14">
        <v>44866</v>
      </c>
      <c r="E145" s="40" t="str">
        <f t="shared" ca="1" si="25"/>
        <v>1年7ヵ月</v>
      </c>
      <c r="F145" s="18"/>
      <c r="G145" s="19" t="s">
        <v>126</v>
      </c>
      <c r="H145" s="13" t="str">
        <f t="shared" si="26"/>
        <v>https://scratch.mit.edu/users/banana_sansan/</v>
      </c>
      <c r="I145" s="21">
        <v>6</v>
      </c>
      <c r="J145" s="13" t="s">
        <v>433</v>
      </c>
      <c r="K145" s="20" t="str">
        <f t="shared" si="33"/>
        <v>2021/09/29</v>
      </c>
      <c r="L145" s="40" t="str">
        <f t="shared" ca="1" si="34"/>
        <v>2年8ヵ月8日</v>
      </c>
      <c r="M145" s="15">
        <v>9</v>
      </c>
      <c r="N145" s="15">
        <v>1107</v>
      </c>
      <c r="O145" s="16">
        <f t="shared" si="27"/>
        <v>8.130081300813009E-3</v>
      </c>
      <c r="P145" s="17">
        <v>17</v>
      </c>
      <c r="Q145" s="22">
        <f t="shared" ca="1" si="28"/>
        <v>0.51987767584097855</v>
      </c>
      <c r="R145" s="38">
        <v>1056</v>
      </c>
      <c r="S145" s="22">
        <f t="shared" ca="1" si="29"/>
        <v>32.293577981651374</v>
      </c>
      <c r="T145" s="22">
        <f t="shared" si="35"/>
        <v>62.117647058823529</v>
      </c>
      <c r="U145" s="17">
        <v>396</v>
      </c>
      <c r="V145" s="22">
        <f t="shared" ca="1" si="31"/>
        <v>12.110091743119265</v>
      </c>
      <c r="W145" s="22">
        <f t="shared" si="32"/>
        <v>23.294117647058822</v>
      </c>
      <c r="X145" s="13"/>
    </row>
    <row r="146" spans="1:24" x14ac:dyDescent="0.4">
      <c r="A146" s="13" t="s">
        <v>507</v>
      </c>
      <c r="B146" s="13" t="s">
        <v>508</v>
      </c>
      <c r="C146" s="13" t="str">
        <f t="shared" si="24"/>
        <v>https://x.com/ArLgon_sb3</v>
      </c>
      <c r="D146" s="14">
        <v>44562</v>
      </c>
      <c r="E146" s="21" t="str">
        <f t="shared" ca="1" si="25"/>
        <v>2年5ヵ月</v>
      </c>
      <c r="F146" s="18"/>
      <c r="G146" s="19" t="s">
        <v>509</v>
      </c>
      <c r="H146" s="13" t="str">
        <f t="shared" si="26"/>
        <v>https://scratch.mit.edu/users/syou2008/</v>
      </c>
      <c r="I146" s="21">
        <v>6</v>
      </c>
      <c r="J146" s="13" t="s">
        <v>433</v>
      </c>
      <c r="K146" s="20" t="str">
        <f t="shared" si="33"/>
        <v>2016/01/03</v>
      </c>
      <c r="L146" s="40" t="str">
        <f t="shared" ca="1" si="34"/>
        <v>8年5ヵ月3日</v>
      </c>
      <c r="M146" s="15">
        <v>252</v>
      </c>
      <c r="N146" s="15">
        <v>280</v>
      </c>
      <c r="O146" s="16">
        <f t="shared" si="27"/>
        <v>0.9</v>
      </c>
      <c r="P146" s="17">
        <v>288</v>
      </c>
      <c r="Q146" s="22">
        <f t="shared" ca="1" si="28"/>
        <v>2.8079298017549563</v>
      </c>
      <c r="R146" s="38">
        <v>70</v>
      </c>
      <c r="S146" s="22">
        <f t="shared" ca="1" si="29"/>
        <v>0.6824829379265519</v>
      </c>
      <c r="T146" s="22">
        <f t="shared" si="35"/>
        <v>0.24305555555555555</v>
      </c>
      <c r="U146" s="17">
        <v>110</v>
      </c>
      <c r="V146" s="22">
        <f t="shared" ca="1" si="31"/>
        <v>1.0724731881702958</v>
      </c>
      <c r="W146" s="22">
        <f t="shared" si="32"/>
        <v>0.38194444444444442</v>
      </c>
      <c r="X146" s="13"/>
    </row>
    <row r="147" spans="1:24" x14ac:dyDescent="0.4">
      <c r="A147" s="13" t="s">
        <v>162</v>
      </c>
      <c r="B147" s="13" t="s">
        <v>163</v>
      </c>
      <c r="C147" s="13" t="str">
        <f t="shared" si="24"/>
        <v>https://x.com/asuka_scratch</v>
      </c>
      <c r="D147" s="14">
        <v>44743</v>
      </c>
      <c r="E147" s="40" t="str">
        <f t="shared" ca="1" si="25"/>
        <v>1年11ヵ月</v>
      </c>
      <c r="F147" s="18" t="s">
        <v>16</v>
      </c>
      <c r="G147" s="19" t="s">
        <v>287</v>
      </c>
      <c r="H147" s="13" t="str">
        <f t="shared" si="26"/>
        <v>https://scratch.mit.edu/users/kotomi-meru/</v>
      </c>
      <c r="I147" s="21">
        <v>6</v>
      </c>
      <c r="J147" s="13" t="s">
        <v>433</v>
      </c>
      <c r="K147" s="20" t="str">
        <f t="shared" si="33"/>
        <v>2017/12/17</v>
      </c>
      <c r="L147" s="40" t="str">
        <f t="shared" ca="1" si="34"/>
        <v>6年5ヵ月20日</v>
      </c>
      <c r="M147" s="15">
        <v>1578</v>
      </c>
      <c r="N147" s="15">
        <v>1370</v>
      </c>
      <c r="O147" s="16">
        <f t="shared" si="27"/>
        <v>1.1518248175182482</v>
      </c>
      <c r="P147" s="17">
        <v>546</v>
      </c>
      <c r="Q147" s="22">
        <f t="shared" ca="1" si="28"/>
        <v>6.9318662716885315</v>
      </c>
      <c r="R147" s="38">
        <v>180</v>
      </c>
      <c r="S147" s="22">
        <f t="shared" ca="1" si="29"/>
        <v>2.2852306390181973</v>
      </c>
      <c r="T147" s="22">
        <f t="shared" si="35"/>
        <v>0.32967032967032966</v>
      </c>
      <c r="U147" s="17">
        <v>18</v>
      </c>
      <c r="V147" s="22">
        <f t="shared" ca="1" si="31"/>
        <v>0.22852306390181973</v>
      </c>
      <c r="W147" s="22">
        <f t="shared" si="32"/>
        <v>3.2967032967032968E-2</v>
      </c>
      <c r="X147" s="13"/>
    </row>
    <row r="148" spans="1:24" x14ac:dyDescent="0.4">
      <c r="A148" s="13" t="s">
        <v>166</v>
      </c>
      <c r="B148" s="13" t="s">
        <v>435</v>
      </c>
      <c r="C148" s="13" t="str">
        <f t="shared" si="24"/>
        <v>https://x.com/banteku176510</v>
      </c>
      <c r="D148" s="14">
        <v>45139</v>
      </c>
      <c r="E148" s="40" t="str">
        <f t="shared" ca="1" si="25"/>
        <v>0年10ヵ月</v>
      </c>
      <c r="F148" s="18"/>
      <c r="G148" s="19" t="s">
        <v>289</v>
      </c>
      <c r="H148" s="13" t="str">
        <f t="shared" si="26"/>
        <v>https://scratch.mit.edu/users/bantecGG/</v>
      </c>
      <c r="I148" s="21">
        <v>6</v>
      </c>
      <c r="J148" s="13" t="s">
        <v>433</v>
      </c>
      <c r="K148" s="20" t="str">
        <f t="shared" si="33"/>
        <v>2022/09/11</v>
      </c>
      <c r="L148" s="40" t="str">
        <f t="shared" ca="1" si="34"/>
        <v>1年8ヵ月26日</v>
      </c>
      <c r="M148" s="15">
        <v>122</v>
      </c>
      <c r="N148" s="15">
        <v>1203</v>
      </c>
      <c r="O148" s="16">
        <f t="shared" si="27"/>
        <v>0.10141313383208644</v>
      </c>
      <c r="P148" s="17">
        <v>19</v>
      </c>
      <c r="Q148" s="22">
        <f t="shared" ca="1" si="28"/>
        <v>0.89905362776025244</v>
      </c>
      <c r="R148" s="38">
        <v>1901</v>
      </c>
      <c r="S148" s="22">
        <f t="shared" ca="1" si="29"/>
        <v>89.952681388012621</v>
      </c>
      <c r="T148" s="22">
        <f t="shared" si="35"/>
        <v>100.05263157894737</v>
      </c>
      <c r="U148" s="17">
        <v>1968</v>
      </c>
      <c r="V148" s="22">
        <f t="shared" ca="1" si="31"/>
        <v>93.123028391167196</v>
      </c>
      <c r="W148" s="22">
        <f t="shared" si="32"/>
        <v>103.57894736842105</v>
      </c>
      <c r="X148" s="13"/>
    </row>
    <row r="149" spans="1:24" x14ac:dyDescent="0.4">
      <c r="A149" s="13" t="s">
        <v>169</v>
      </c>
      <c r="B149" s="13" t="s">
        <v>170</v>
      </c>
      <c r="C149" s="13" t="str">
        <f t="shared" si="24"/>
        <v>https://x.com/Diamond_Scratch</v>
      </c>
      <c r="D149" s="14">
        <v>44743</v>
      </c>
      <c r="E149" s="40" t="str">
        <f t="shared" ca="1" si="25"/>
        <v>1年11ヵ月</v>
      </c>
      <c r="F149" s="18"/>
      <c r="G149" s="19" t="s">
        <v>291</v>
      </c>
      <c r="H149" s="13" t="str">
        <f t="shared" si="26"/>
        <v>https://scratch.mit.edu/users/-Diamond_Scratch-/</v>
      </c>
      <c r="I149" s="21">
        <v>6</v>
      </c>
      <c r="J149" s="13" t="s">
        <v>433</v>
      </c>
      <c r="K149" s="20" t="str">
        <f t="shared" si="33"/>
        <v>2022/06/06</v>
      </c>
      <c r="L149" s="40" t="str">
        <f t="shared" ca="1" si="34"/>
        <v>2年0ヵ月0日</v>
      </c>
      <c r="M149" s="15">
        <v>32</v>
      </c>
      <c r="N149" s="15">
        <v>199</v>
      </c>
      <c r="O149" s="16">
        <f t="shared" si="27"/>
        <v>0.16080402010050251</v>
      </c>
      <c r="P149" s="17">
        <v>6</v>
      </c>
      <c r="Q149" s="22">
        <f t="shared" ca="1" si="28"/>
        <v>0.24623803009575923</v>
      </c>
      <c r="R149" s="38">
        <v>179</v>
      </c>
      <c r="S149" s="22">
        <f t="shared" ca="1" si="29"/>
        <v>7.3461012311901506</v>
      </c>
      <c r="T149" s="22">
        <f t="shared" si="35"/>
        <v>29.833333333333332</v>
      </c>
      <c r="U149" s="17">
        <v>97</v>
      </c>
      <c r="V149" s="22">
        <f t="shared" ca="1" si="31"/>
        <v>3.9808481532147741</v>
      </c>
      <c r="W149" s="22">
        <f t="shared" si="32"/>
        <v>16.166666666666668</v>
      </c>
      <c r="X149" s="13"/>
    </row>
    <row r="150" spans="1:24" x14ac:dyDescent="0.4">
      <c r="A150" s="13" t="s">
        <v>173</v>
      </c>
      <c r="B150" s="13" t="s">
        <v>174</v>
      </c>
      <c r="C150" s="13" t="str">
        <f t="shared" si="24"/>
        <v>https://x.com/Doramori334</v>
      </c>
      <c r="D150" s="14">
        <v>44621</v>
      </c>
      <c r="E150" s="40" t="str">
        <f t="shared" ca="1" si="25"/>
        <v>2年3ヵ月</v>
      </c>
      <c r="F150" s="18"/>
      <c r="G150" s="19" t="s">
        <v>292</v>
      </c>
      <c r="H150" s="13" t="str">
        <f t="shared" si="26"/>
        <v>https://scratch.mit.edu/users/goziratomosura/</v>
      </c>
      <c r="I150" s="21">
        <v>6</v>
      </c>
      <c r="J150" s="13" t="s">
        <v>433</v>
      </c>
      <c r="K150" s="20" t="str">
        <f t="shared" si="33"/>
        <v>2018/08/10</v>
      </c>
      <c r="L150" s="40" t="str">
        <f t="shared" ca="1" si="34"/>
        <v>5年9ヵ月27日</v>
      </c>
      <c r="M150" s="15">
        <v>140</v>
      </c>
      <c r="N150" s="15">
        <v>125</v>
      </c>
      <c r="O150" s="16">
        <f t="shared" si="27"/>
        <v>1.1200000000000001</v>
      </c>
      <c r="P150" s="17">
        <v>17</v>
      </c>
      <c r="Q150" s="22">
        <f t="shared" ca="1" si="28"/>
        <v>0.23977433004231311</v>
      </c>
      <c r="R150" s="38">
        <v>127</v>
      </c>
      <c r="S150" s="22">
        <f t="shared" ca="1" si="29"/>
        <v>1.7912552891396332</v>
      </c>
      <c r="T150" s="22">
        <f t="shared" si="35"/>
        <v>7.4705882352941178</v>
      </c>
      <c r="U150" s="17">
        <v>106</v>
      </c>
      <c r="V150" s="22">
        <f t="shared" ca="1" si="31"/>
        <v>1.4950634696755993</v>
      </c>
      <c r="W150" s="22">
        <f t="shared" si="32"/>
        <v>6.2352941176470589</v>
      </c>
      <c r="X150" s="13"/>
    </row>
    <row r="151" spans="1:24" x14ac:dyDescent="0.4">
      <c r="A151" s="26" t="s">
        <v>555</v>
      </c>
      <c r="B151" s="26" t="s">
        <v>556</v>
      </c>
      <c r="C151" s="13" t="str">
        <f t="shared" si="24"/>
        <v>https://x.com/driveGOX0925</v>
      </c>
      <c r="D151" s="27">
        <v>45261</v>
      </c>
      <c r="E151" s="21" t="str">
        <f t="shared" ca="1" si="25"/>
        <v>0年6ヵ月</v>
      </c>
      <c r="G151" s="32" t="s">
        <v>556</v>
      </c>
      <c r="H151" s="13" t="str">
        <f t="shared" si="26"/>
        <v>https://scratch.mit.edu/users/driveGOX/</v>
      </c>
      <c r="I151" s="21">
        <v>6</v>
      </c>
      <c r="J151" s="13" t="s">
        <v>433</v>
      </c>
      <c r="K151" s="20" t="str">
        <f t="shared" si="33"/>
        <v>2021/07/18</v>
      </c>
      <c r="L151" s="40" t="str">
        <f t="shared" ca="1" si="34"/>
        <v>2年10ヵ月19日</v>
      </c>
      <c r="M151" s="28">
        <v>10000</v>
      </c>
      <c r="N151" s="28">
        <v>4984</v>
      </c>
      <c r="O151" s="29">
        <f t="shared" si="27"/>
        <v>2.0064205457463884</v>
      </c>
      <c r="P151" s="30">
        <v>219</v>
      </c>
      <c r="Q151" s="22">
        <f t="shared" ca="1" si="28"/>
        <v>6.2333965844402277</v>
      </c>
      <c r="R151" s="39">
        <v>1159</v>
      </c>
      <c r="S151" s="22">
        <f t="shared" ca="1" si="29"/>
        <v>32.988614800759017</v>
      </c>
      <c r="T151" s="22">
        <f t="shared" si="35"/>
        <v>5.2922374429223744</v>
      </c>
      <c r="U151" s="30">
        <v>1162</v>
      </c>
      <c r="V151" s="24">
        <f t="shared" ca="1" si="31"/>
        <v>33.074003795066417</v>
      </c>
      <c r="W151" s="22">
        <f t="shared" si="32"/>
        <v>5.3059360730593603</v>
      </c>
    </row>
    <row r="152" spans="1:24" x14ac:dyDescent="0.4">
      <c r="A152" s="26" t="s">
        <v>180</v>
      </c>
      <c r="B152" s="26" t="s">
        <v>436</v>
      </c>
      <c r="C152" s="13" t="str">
        <f t="shared" si="24"/>
        <v>https://x.com/edamame_pikmi</v>
      </c>
      <c r="D152" s="27">
        <v>45047</v>
      </c>
      <c r="E152" s="40" t="str">
        <f t="shared" ca="1" si="25"/>
        <v>1年1ヵ月</v>
      </c>
      <c r="G152" s="32" t="s">
        <v>295</v>
      </c>
      <c r="H152" s="13" t="str">
        <f t="shared" si="26"/>
        <v>https://scratch.mit.edu/users/pikmi_taisa/</v>
      </c>
      <c r="I152" s="21">
        <v>6</v>
      </c>
      <c r="J152" s="13" t="s">
        <v>433</v>
      </c>
      <c r="K152" s="20" t="str">
        <f t="shared" si="33"/>
        <v>2024/02/10</v>
      </c>
      <c r="L152" s="40" t="str">
        <f t="shared" ca="1" si="34"/>
        <v>0年3ヵ月27日</v>
      </c>
      <c r="M152" s="28">
        <v>21</v>
      </c>
      <c r="N152" s="28">
        <v>27</v>
      </c>
      <c r="O152" s="29">
        <f t="shared" si="27"/>
        <v>0.77777777777777779</v>
      </c>
      <c r="P152" s="30">
        <v>0</v>
      </c>
      <c r="Q152" s="22">
        <f t="shared" ca="1" si="28"/>
        <v>0</v>
      </c>
      <c r="R152" s="39">
        <v>1</v>
      </c>
      <c r="S152" s="22">
        <f t="shared" ca="1" si="29"/>
        <v>0.25641025641025644</v>
      </c>
      <c r="T152" s="24">
        <f t="shared" si="35"/>
        <v>0</v>
      </c>
      <c r="U152" s="30">
        <v>1</v>
      </c>
      <c r="V152" s="24">
        <f t="shared" ca="1" si="31"/>
        <v>0.25641025641025644</v>
      </c>
      <c r="W152" s="22">
        <f t="shared" si="32"/>
        <v>0</v>
      </c>
    </row>
    <row r="153" spans="1:24" x14ac:dyDescent="0.4">
      <c r="A153" s="26" t="s">
        <v>181</v>
      </c>
      <c r="B153" s="26" t="s">
        <v>182</v>
      </c>
      <c r="C153" s="13" t="str">
        <f t="shared" si="24"/>
        <v>https://x.com/eelrice140</v>
      </c>
      <c r="D153" s="27">
        <v>44317</v>
      </c>
      <c r="E153" s="40" t="str">
        <f t="shared" ca="1" si="25"/>
        <v>3年1ヵ月</v>
      </c>
      <c r="G153" s="32" t="s">
        <v>296</v>
      </c>
      <c r="H153" s="13" t="str">
        <f t="shared" si="26"/>
        <v>https://scratch.mit.edu/users/unazyuuoomori/</v>
      </c>
      <c r="I153" s="21">
        <v>6</v>
      </c>
      <c r="J153" s="13" t="s">
        <v>433</v>
      </c>
      <c r="K153" s="20" t="str">
        <f t="shared" si="33"/>
        <v>2019/03/27</v>
      </c>
      <c r="L153" s="40" t="str">
        <f t="shared" ca="1" si="34"/>
        <v>5年2ヵ月10日</v>
      </c>
      <c r="M153" s="28">
        <v>233</v>
      </c>
      <c r="N153" s="28">
        <v>188</v>
      </c>
      <c r="O153" s="29">
        <f t="shared" si="27"/>
        <v>1.2393617021276595</v>
      </c>
      <c r="P153" s="30">
        <v>178</v>
      </c>
      <c r="Q153" s="22">
        <f t="shared" ca="1" si="28"/>
        <v>2.8134878819810325</v>
      </c>
      <c r="R153" s="39">
        <v>241</v>
      </c>
      <c r="S153" s="24">
        <f t="shared" ca="1" si="29"/>
        <v>3.8092729188619598</v>
      </c>
      <c r="T153" s="24">
        <f t="shared" si="35"/>
        <v>1.353932584269663</v>
      </c>
      <c r="U153" s="30">
        <v>234</v>
      </c>
      <c r="V153" s="24">
        <f t="shared" ca="1" si="31"/>
        <v>3.6986301369863015</v>
      </c>
      <c r="W153" s="22">
        <f t="shared" si="32"/>
        <v>1.3146067415730338</v>
      </c>
    </row>
    <row r="154" spans="1:24" x14ac:dyDescent="0.4">
      <c r="A154" s="26" t="s">
        <v>184</v>
      </c>
      <c r="B154" s="26" t="s">
        <v>185</v>
      </c>
      <c r="C154" s="13" t="str">
        <f t="shared" si="24"/>
        <v>https://x.com/GOTTbatotai54</v>
      </c>
      <c r="D154" s="27">
        <v>44652</v>
      </c>
      <c r="E154" s="40" t="str">
        <f t="shared" ca="1" si="25"/>
        <v>2年2ヵ月</v>
      </c>
      <c r="G154" s="32" t="s">
        <v>298</v>
      </c>
      <c r="H154" s="13" t="str">
        <f t="shared" si="26"/>
        <v>https://scratch.mit.edu/users/GOD54/</v>
      </c>
      <c r="I154" s="34">
        <v>6</v>
      </c>
      <c r="J154" s="26" t="s">
        <v>433</v>
      </c>
      <c r="K154" s="20" t="str">
        <f t="shared" si="33"/>
        <v>2017/10/03</v>
      </c>
      <c r="L154" s="40" t="str">
        <f t="shared" ca="1" si="34"/>
        <v>6年8ヵ月3日</v>
      </c>
      <c r="M154" s="28">
        <v>540</v>
      </c>
      <c r="N154" s="28">
        <v>958</v>
      </c>
      <c r="O154" s="29">
        <f t="shared" si="27"/>
        <v>0.56367432150313157</v>
      </c>
      <c r="P154" s="30">
        <v>2</v>
      </c>
      <c r="Q154" s="22">
        <f t="shared" ca="1" si="28"/>
        <v>2.461033634126333E-2</v>
      </c>
      <c r="R154" s="39">
        <v>955</v>
      </c>
      <c r="S154" s="24">
        <f t="shared" ca="1" si="29"/>
        <v>11.75143560295324</v>
      </c>
      <c r="T154" s="24">
        <f t="shared" si="35"/>
        <v>477.5</v>
      </c>
      <c r="U154" s="30">
        <v>917</v>
      </c>
      <c r="V154" s="24">
        <f t="shared" ca="1" si="31"/>
        <v>11.283839212469237</v>
      </c>
      <c r="W154" s="24">
        <f t="shared" si="32"/>
        <v>458.5</v>
      </c>
    </row>
    <row r="155" spans="1:24" x14ac:dyDescent="0.4">
      <c r="A155" s="26" t="s">
        <v>186</v>
      </c>
      <c r="B155" s="26" t="s">
        <v>187</v>
      </c>
      <c r="C155" s="13" t="str">
        <f t="shared" si="24"/>
        <v>https://x.com/Gurachan0</v>
      </c>
      <c r="D155" s="27">
        <v>44682</v>
      </c>
      <c r="E155" s="40" t="str">
        <f t="shared" ca="1" si="25"/>
        <v>2年1ヵ月</v>
      </c>
      <c r="F155" s="31" t="s">
        <v>16</v>
      </c>
      <c r="G155" s="32" t="s">
        <v>299</v>
      </c>
      <c r="H155" s="13" t="str">
        <f t="shared" si="26"/>
        <v>https://scratch.mit.edu/users/GuraTea/</v>
      </c>
      <c r="I155" s="21">
        <v>6</v>
      </c>
      <c r="J155" s="13" t="s">
        <v>433</v>
      </c>
      <c r="K155" s="20" t="str">
        <f t="shared" si="33"/>
        <v>2023/07/30</v>
      </c>
      <c r="L155" s="40" t="str">
        <f t="shared" ca="1" si="34"/>
        <v>0年10ヵ月7日</v>
      </c>
      <c r="M155" s="28">
        <v>58</v>
      </c>
      <c r="N155" s="28">
        <v>70</v>
      </c>
      <c r="O155" s="29">
        <f t="shared" si="27"/>
        <v>0.82857142857142863</v>
      </c>
      <c r="P155" s="30">
        <v>5</v>
      </c>
      <c r="Q155" s="22">
        <f t="shared" ca="1" si="28"/>
        <v>0.48076923076923073</v>
      </c>
      <c r="R155" s="39">
        <v>85</v>
      </c>
      <c r="S155" s="24">
        <f t="shared" ca="1" si="29"/>
        <v>8.1730769230769234</v>
      </c>
      <c r="T155" s="24">
        <f t="shared" si="35"/>
        <v>17</v>
      </c>
      <c r="U155" s="30">
        <v>48</v>
      </c>
      <c r="V155" s="24">
        <f t="shared" ca="1" si="31"/>
        <v>4.615384615384615</v>
      </c>
      <c r="W155" s="24">
        <f t="shared" si="32"/>
        <v>9.6</v>
      </c>
    </row>
    <row r="156" spans="1:24" x14ac:dyDescent="0.4">
      <c r="A156" s="26" t="s">
        <v>105</v>
      </c>
      <c r="B156" s="26" t="s">
        <v>104</v>
      </c>
      <c r="C156" s="13" t="str">
        <f t="shared" si="24"/>
        <v>https://x.com/haru_ymth</v>
      </c>
      <c r="D156" s="27">
        <v>44682</v>
      </c>
      <c r="E156" s="41" t="str">
        <f t="shared" ca="1" si="25"/>
        <v>2年1ヵ月</v>
      </c>
      <c r="F156" s="31" t="s">
        <v>16</v>
      </c>
      <c r="G156" s="32" t="s">
        <v>104</v>
      </c>
      <c r="H156" s="13" t="str">
        <f t="shared" si="26"/>
        <v>https://scratch.mit.edu/users/haru-ymth/</v>
      </c>
      <c r="I156" s="34">
        <v>6</v>
      </c>
      <c r="J156" s="26" t="s">
        <v>433</v>
      </c>
      <c r="K156" s="20" t="str">
        <f t="shared" si="33"/>
        <v>2022/08/07</v>
      </c>
      <c r="L156" s="40" t="str">
        <f t="shared" ca="1" si="34"/>
        <v>1年9ヵ月30日</v>
      </c>
      <c r="M156" s="28">
        <v>32</v>
      </c>
      <c r="N156" s="28">
        <v>388</v>
      </c>
      <c r="O156" s="29">
        <f t="shared" si="27"/>
        <v>8.247422680412371E-2</v>
      </c>
      <c r="P156" s="30">
        <v>3</v>
      </c>
      <c r="Q156" s="22">
        <f t="shared" ca="1" si="28"/>
        <v>0.13452914798206278</v>
      </c>
      <c r="R156" s="39">
        <v>18</v>
      </c>
      <c r="S156" s="24">
        <f t="shared" ca="1" si="29"/>
        <v>0.80717488789237668</v>
      </c>
      <c r="T156" s="24">
        <f t="shared" si="35"/>
        <v>6</v>
      </c>
      <c r="U156" s="30">
        <v>19</v>
      </c>
      <c r="V156" s="24">
        <f t="shared" ca="1" si="31"/>
        <v>0.85201793721973096</v>
      </c>
      <c r="W156" s="24">
        <f t="shared" si="32"/>
        <v>6.333333333333333</v>
      </c>
    </row>
    <row r="157" spans="1:24" x14ac:dyDescent="0.4">
      <c r="A157" s="26" t="s">
        <v>188</v>
      </c>
      <c r="B157" s="26" t="s">
        <v>189</v>
      </c>
      <c r="C157" s="13" t="str">
        <f t="shared" si="24"/>
        <v>https://x.com/HCWHkU8w9dvhirQ</v>
      </c>
      <c r="D157" s="27">
        <v>44531</v>
      </c>
      <c r="E157" s="41" t="str">
        <f t="shared" ca="1" si="25"/>
        <v>2年6ヵ月</v>
      </c>
      <c r="G157" s="32" t="s">
        <v>300</v>
      </c>
      <c r="H157" s="13" t="str">
        <f t="shared" si="26"/>
        <v>https://scratch.mit.edu/users/Hiruneman/</v>
      </c>
      <c r="I157" s="34">
        <v>6</v>
      </c>
      <c r="J157" s="26" t="s">
        <v>433</v>
      </c>
      <c r="K157" s="20" t="str">
        <f t="shared" si="33"/>
        <v>2024/03/31</v>
      </c>
      <c r="L157" s="40" t="str">
        <f t="shared" ca="1" si="34"/>
        <v>0年2ヵ月6日</v>
      </c>
      <c r="M157" s="28">
        <v>16</v>
      </c>
      <c r="N157" s="28">
        <v>7</v>
      </c>
      <c r="O157" s="29">
        <f t="shared" si="27"/>
        <v>2.2857142857142856</v>
      </c>
      <c r="P157" s="30">
        <v>0</v>
      </c>
      <c r="Q157" s="22">
        <f t="shared" ca="1" si="28"/>
        <v>0</v>
      </c>
      <c r="R157" s="39">
        <v>1</v>
      </c>
      <c r="S157" s="24">
        <f t="shared" ca="1" si="29"/>
        <v>0.44776119402985076</v>
      </c>
      <c r="T157" s="24">
        <f t="shared" si="35"/>
        <v>0</v>
      </c>
      <c r="U157" s="30">
        <v>1</v>
      </c>
      <c r="V157" s="24">
        <f t="shared" ca="1" si="31"/>
        <v>0.44776119402985076</v>
      </c>
      <c r="W157" s="24">
        <f t="shared" si="32"/>
        <v>0</v>
      </c>
    </row>
    <row r="158" spans="1:24" x14ac:dyDescent="0.4">
      <c r="A158" s="26" t="s">
        <v>190</v>
      </c>
      <c r="B158" s="26" t="s">
        <v>191</v>
      </c>
      <c r="C158" s="13" t="str">
        <f t="shared" si="24"/>
        <v>https://x.com/HeroSoramame02</v>
      </c>
      <c r="D158" s="27">
        <v>45139</v>
      </c>
      <c r="E158" s="41" t="str">
        <f t="shared" ca="1" si="25"/>
        <v>0年10ヵ月</v>
      </c>
      <c r="G158" s="32" t="s">
        <v>301</v>
      </c>
      <c r="H158" s="13" t="str">
        <f t="shared" si="26"/>
        <v>https://scratch.mit.edu/users/02_soramame/</v>
      </c>
      <c r="I158" s="34">
        <v>6</v>
      </c>
      <c r="J158" s="26" t="s">
        <v>433</v>
      </c>
      <c r="K158" s="20" t="str">
        <f t="shared" si="33"/>
        <v>2021/03/08</v>
      </c>
      <c r="L158" s="40" t="str">
        <f t="shared" ca="1" si="34"/>
        <v>3年2ヵ月29日</v>
      </c>
      <c r="M158" s="28">
        <v>405</v>
      </c>
      <c r="N158" s="28">
        <v>129</v>
      </c>
      <c r="O158" s="29">
        <f t="shared" si="27"/>
        <v>3.13953488372093</v>
      </c>
      <c r="P158" s="30">
        <v>3</v>
      </c>
      <c r="Q158" s="22">
        <f t="shared" ca="1" si="28"/>
        <v>7.5885328836424959E-2</v>
      </c>
      <c r="R158" s="39">
        <v>534</v>
      </c>
      <c r="S158" s="24">
        <f t="shared" ca="1" si="29"/>
        <v>13.507588532883643</v>
      </c>
      <c r="T158" s="24">
        <f t="shared" si="35"/>
        <v>178</v>
      </c>
      <c r="U158" s="30">
        <v>311</v>
      </c>
      <c r="V158" s="24">
        <f t="shared" ca="1" si="31"/>
        <v>7.8667790893760543</v>
      </c>
      <c r="W158" s="24">
        <f t="shared" si="32"/>
        <v>103.66666666666667</v>
      </c>
    </row>
    <row r="159" spans="1:24" x14ac:dyDescent="0.4">
      <c r="A159" s="26" t="s">
        <v>192</v>
      </c>
      <c r="B159" s="26" t="s">
        <v>193</v>
      </c>
      <c r="C159" s="13" t="str">
        <f t="shared" si="24"/>
        <v>https://x.com/HimikoPC</v>
      </c>
      <c r="D159" s="27">
        <v>45261</v>
      </c>
      <c r="E159" s="41" t="str">
        <f t="shared" ca="1" si="25"/>
        <v>0年6ヵ月</v>
      </c>
      <c r="G159" s="32" t="s">
        <v>302</v>
      </c>
      <c r="H159" s="13" t="str">
        <f t="shared" si="26"/>
        <v>https://scratch.mit.edu/users/SUPER_PEANUTS/</v>
      </c>
      <c r="I159" s="21">
        <v>6</v>
      </c>
      <c r="J159" s="13" t="s">
        <v>433</v>
      </c>
      <c r="K159" s="20" t="str">
        <f t="shared" si="33"/>
        <v>2022/05/06</v>
      </c>
      <c r="L159" s="40" t="str">
        <f t="shared" ca="1" si="34"/>
        <v>2年1ヵ月0日</v>
      </c>
      <c r="M159" s="28">
        <v>85</v>
      </c>
      <c r="N159" s="28">
        <v>124</v>
      </c>
      <c r="O159" s="29">
        <f t="shared" si="27"/>
        <v>0.68548387096774188</v>
      </c>
      <c r="P159" s="30">
        <v>21</v>
      </c>
      <c r="Q159" s="22">
        <f t="shared" ca="1" si="28"/>
        <v>0.82677165354330717</v>
      </c>
      <c r="R159" s="39">
        <v>75</v>
      </c>
      <c r="S159" s="24">
        <f t="shared" ca="1" si="29"/>
        <v>2.9527559055118111</v>
      </c>
      <c r="T159" s="24">
        <f t="shared" si="35"/>
        <v>3.5714285714285716</v>
      </c>
      <c r="U159" s="30">
        <v>36</v>
      </c>
      <c r="V159" s="24">
        <f t="shared" ca="1" si="31"/>
        <v>1.4173228346456694</v>
      </c>
      <c r="W159" s="24">
        <f t="shared" si="32"/>
        <v>1.7142857142857142</v>
      </c>
    </row>
    <row r="160" spans="1:24" x14ac:dyDescent="0.4">
      <c r="A160" s="26" t="s">
        <v>95</v>
      </c>
      <c r="B160" s="26" t="s">
        <v>94</v>
      </c>
      <c r="C160" s="13" t="str">
        <f t="shared" si="24"/>
        <v>https://x.com/hisiragi_jp</v>
      </c>
      <c r="D160" s="27">
        <v>44866</v>
      </c>
      <c r="E160" s="41" t="str">
        <f t="shared" ca="1" si="25"/>
        <v>1年7ヵ月</v>
      </c>
      <c r="G160" s="32" t="s">
        <v>93</v>
      </c>
      <c r="H160" s="13" t="str">
        <f t="shared" si="26"/>
        <v>https://scratch.mit.edu/users/hisiragi/</v>
      </c>
      <c r="I160" s="34">
        <v>6</v>
      </c>
      <c r="J160" s="26" t="s">
        <v>433</v>
      </c>
      <c r="K160" s="20" t="str">
        <f t="shared" si="33"/>
        <v>2021/12/21</v>
      </c>
      <c r="L160" s="40" t="str">
        <f t="shared" ca="1" si="34"/>
        <v>2年5ヵ月16日</v>
      </c>
      <c r="M160" s="28">
        <v>726</v>
      </c>
      <c r="N160" s="28">
        <v>441</v>
      </c>
      <c r="O160" s="29">
        <f t="shared" si="27"/>
        <v>1.6462585034013606</v>
      </c>
      <c r="P160" s="30">
        <v>7</v>
      </c>
      <c r="Q160" s="22">
        <f t="shared" ca="1" si="28"/>
        <v>0.23385300668151449</v>
      </c>
      <c r="R160" s="39">
        <v>661</v>
      </c>
      <c r="S160" s="24">
        <f t="shared" ca="1" si="29"/>
        <v>22.08240534521158</v>
      </c>
      <c r="T160" s="24">
        <f t="shared" si="35"/>
        <v>94.428571428571431</v>
      </c>
      <c r="U160" s="30">
        <v>659</v>
      </c>
      <c r="V160" s="24">
        <f t="shared" ca="1" si="31"/>
        <v>22.015590200445434</v>
      </c>
      <c r="W160" s="24">
        <f t="shared" si="32"/>
        <v>94.142857142857139</v>
      </c>
    </row>
    <row r="161" spans="1:23" x14ac:dyDescent="0.4">
      <c r="A161" s="26" t="s">
        <v>194</v>
      </c>
      <c r="B161" s="26" t="s">
        <v>195</v>
      </c>
      <c r="C161" s="13" t="str">
        <f t="shared" si="24"/>
        <v>https://x.com/huruit_mikeneko</v>
      </c>
      <c r="D161" s="27">
        <v>44682</v>
      </c>
      <c r="E161" s="41" t="str">
        <f t="shared" ca="1" si="25"/>
        <v>2年1ヵ月</v>
      </c>
      <c r="G161" s="32" t="s">
        <v>195</v>
      </c>
      <c r="H161" s="13" t="str">
        <f t="shared" si="26"/>
        <v>https://scratch.mit.edu/users/huru-tu/</v>
      </c>
      <c r="I161" s="21">
        <v>6</v>
      </c>
      <c r="J161" s="13" t="s">
        <v>433</v>
      </c>
      <c r="K161" s="20" t="str">
        <f t="shared" si="33"/>
        <v>2018/11/20</v>
      </c>
      <c r="L161" s="40" t="str">
        <f t="shared" ca="1" si="34"/>
        <v>5年6ヵ月17日</v>
      </c>
      <c r="M161" s="28">
        <v>28</v>
      </c>
      <c r="N161" s="28">
        <v>393</v>
      </c>
      <c r="O161" s="29">
        <f t="shared" si="27"/>
        <v>7.124681933842239E-2</v>
      </c>
      <c r="P161" s="30">
        <v>22</v>
      </c>
      <c r="Q161" s="22">
        <f t="shared" ca="1" si="28"/>
        <v>0.32592592592592595</v>
      </c>
      <c r="R161" s="39">
        <v>1249</v>
      </c>
      <c r="S161" s="24">
        <f t="shared" ca="1" si="29"/>
        <v>18.503703703703703</v>
      </c>
      <c r="T161" s="24">
        <f t="shared" si="35"/>
        <v>56.772727272727273</v>
      </c>
      <c r="U161" s="30">
        <v>993</v>
      </c>
      <c r="V161" s="24">
        <f t="shared" ca="1" si="31"/>
        <v>14.71111111111111</v>
      </c>
      <c r="W161" s="24">
        <f t="shared" si="32"/>
        <v>45.136363636363633</v>
      </c>
    </row>
    <row r="162" spans="1:23" x14ac:dyDescent="0.4">
      <c r="A162" s="26" t="s">
        <v>488</v>
      </c>
      <c r="B162" s="26" t="s">
        <v>489</v>
      </c>
      <c r="C162" s="13" t="str">
        <f t="shared" si="24"/>
        <v>https://x.com/I___bubble___I</v>
      </c>
      <c r="D162" s="27">
        <v>44927</v>
      </c>
      <c r="E162" s="41" t="str">
        <f t="shared" ca="1" si="25"/>
        <v>1年5ヵ月</v>
      </c>
      <c r="G162" s="32" t="s">
        <v>45</v>
      </c>
      <c r="H162" s="13" t="str">
        <f t="shared" si="26"/>
        <v>https://scratch.mit.edu/users/laggylaggy/</v>
      </c>
      <c r="I162" s="21">
        <v>6</v>
      </c>
      <c r="J162" s="13" t="s">
        <v>433</v>
      </c>
      <c r="K162" s="20" t="str">
        <f t="shared" si="33"/>
        <v>2021/11/08</v>
      </c>
      <c r="L162" s="40" t="str">
        <f t="shared" ca="1" si="34"/>
        <v>2年6ヵ月29日</v>
      </c>
      <c r="M162" s="28">
        <v>333</v>
      </c>
      <c r="N162" s="28">
        <v>591</v>
      </c>
      <c r="O162" s="29">
        <f t="shared" si="27"/>
        <v>0.56345177664974622</v>
      </c>
      <c r="P162" s="30">
        <v>259</v>
      </c>
      <c r="Q162" s="22">
        <f t="shared" ca="1" si="28"/>
        <v>8.2571732199787462</v>
      </c>
      <c r="R162" s="39">
        <v>1755</v>
      </c>
      <c r="S162" s="24">
        <f t="shared" ca="1" si="29"/>
        <v>55.951115834218918</v>
      </c>
      <c r="T162" s="24">
        <f t="shared" si="35"/>
        <v>6.7760617760617761</v>
      </c>
      <c r="U162" s="30">
        <v>753</v>
      </c>
      <c r="V162" s="24">
        <f t="shared" ca="1" si="31"/>
        <v>24.006376195536664</v>
      </c>
      <c r="W162" s="24">
        <f t="shared" si="32"/>
        <v>2.9073359073359075</v>
      </c>
    </row>
    <row r="163" spans="1:23" x14ac:dyDescent="0.4">
      <c r="A163" s="26" t="s">
        <v>196</v>
      </c>
      <c r="B163" s="26" t="s">
        <v>197</v>
      </c>
      <c r="C163" s="13" t="str">
        <f t="shared" si="24"/>
        <v>https://x.com/Jikky1618</v>
      </c>
      <c r="D163" s="27">
        <v>44256</v>
      </c>
      <c r="E163" s="41" t="str">
        <f t="shared" ca="1" si="25"/>
        <v>3年3ヵ月</v>
      </c>
      <c r="G163" s="32" t="s">
        <v>303</v>
      </c>
      <c r="H163" s="13" t="str">
        <f t="shared" si="26"/>
        <v>https://scratch.mit.edu/users/-Jikky-/</v>
      </c>
      <c r="I163" s="34">
        <v>6</v>
      </c>
      <c r="J163" s="26" t="s">
        <v>433</v>
      </c>
      <c r="K163" s="20" t="str">
        <f t="shared" si="33"/>
        <v>2020/05/12</v>
      </c>
      <c r="L163" s="40" t="str">
        <f t="shared" ca="1" si="34"/>
        <v>4年0ヵ月25日</v>
      </c>
      <c r="M163" s="28">
        <v>37</v>
      </c>
      <c r="N163" s="28">
        <v>2158</v>
      </c>
      <c r="O163" s="29">
        <f t="shared" si="27"/>
        <v>1.7145505097312327E-2</v>
      </c>
      <c r="P163" s="30">
        <v>1</v>
      </c>
      <c r="Q163" s="22">
        <f t="shared" ca="1" si="28"/>
        <v>2.0188425302826381E-2</v>
      </c>
      <c r="R163" s="39">
        <v>443</v>
      </c>
      <c r="S163" s="24">
        <f t="shared" ca="1" si="29"/>
        <v>8.9434724091520863</v>
      </c>
      <c r="T163" s="24">
        <f t="shared" si="35"/>
        <v>443</v>
      </c>
      <c r="U163" s="30">
        <v>244</v>
      </c>
      <c r="V163" s="24">
        <f t="shared" ca="1" si="31"/>
        <v>4.925975773889637</v>
      </c>
      <c r="W163" s="24">
        <f t="shared" si="32"/>
        <v>244</v>
      </c>
    </row>
    <row r="164" spans="1:23" x14ac:dyDescent="0.4">
      <c r="A164" s="26" t="s">
        <v>390</v>
      </c>
      <c r="B164" s="26" t="s">
        <v>349</v>
      </c>
      <c r="C164" s="13" t="str">
        <f t="shared" si="24"/>
        <v>https://x.com/kakeruzoku</v>
      </c>
      <c r="D164" s="27">
        <v>44986</v>
      </c>
      <c r="E164" s="41" t="str">
        <f t="shared" ca="1" si="25"/>
        <v>1年3ヵ月</v>
      </c>
      <c r="G164" s="32" t="s">
        <v>350</v>
      </c>
      <c r="H164" s="13" t="str">
        <f t="shared" si="26"/>
        <v>https://scratch.mit.edu/users/-25kakeru-25/</v>
      </c>
      <c r="I164" s="34">
        <v>6</v>
      </c>
      <c r="J164" s="26" t="s">
        <v>433</v>
      </c>
      <c r="K164" s="20" t="str">
        <f t="shared" si="33"/>
        <v>2022/05/27</v>
      </c>
      <c r="L164" s="40" t="str">
        <f t="shared" ca="1" si="34"/>
        <v>2年0ヵ月10日</v>
      </c>
      <c r="M164" s="28">
        <v>88</v>
      </c>
      <c r="N164" s="28">
        <v>29</v>
      </c>
      <c r="O164" s="29">
        <f t="shared" si="27"/>
        <v>3.0344827586206895</v>
      </c>
      <c r="P164" s="30">
        <v>9</v>
      </c>
      <c r="Q164" s="22">
        <f t="shared" ca="1" si="28"/>
        <v>0.36437246963562753</v>
      </c>
      <c r="R164" s="39">
        <v>3</v>
      </c>
      <c r="S164" s="24">
        <f t="shared" ca="1" si="29"/>
        <v>0.12145748987854252</v>
      </c>
      <c r="T164" s="24">
        <f t="shared" si="35"/>
        <v>0.33333333333333331</v>
      </c>
      <c r="U164" s="30">
        <v>3</v>
      </c>
      <c r="V164" s="24">
        <f t="shared" ca="1" si="31"/>
        <v>0.12145748987854252</v>
      </c>
      <c r="W164" s="24">
        <f t="shared" si="32"/>
        <v>0.33333333333333331</v>
      </c>
    </row>
    <row r="165" spans="1:23" x14ac:dyDescent="0.4">
      <c r="A165" s="26" t="s">
        <v>86</v>
      </c>
      <c r="B165" s="26" t="s">
        <v>443</v>
      </c>
      <c r="C165" s="13" t="str">
        <f t="shared" si="24"/>
        <v>https://x.com/kasasa1262716</v>
      </c>
      <c r="D165" s="27">
        <v>45108</v>
      </c>
      <c r="E165" s="41" t="str">
        <f t="shared" ca="1" si="25"/>
        <v>0年11ヵ月</v>
      </c>
      <c r="F165" s="31" t="s">
        <v>16</v>
      </c>
      <c r="G165" s="32" t="s">
        <v>307</v>
      </c>
      <c r="H165" s="13" t="str">
        <f t="shared" si="26"/>
        <v>https://scratch.mit.edu/users/kasasa01_2009sugu/</v>
      </c>
      <c r="I165" s="21">
        <v>6</v>
      </c>
      <c r="J165" s="13" t="s">
        <v>433</v>
      </c>
      <c r="K165" s="20" t="str">
        <f t="shared" si="33"/>
        <v>2022/12/19</v>
      </c>
      <c r="L165" s="40" t="str">
        <f t="shared" ca="1" si="34"/>
        <v>1年5ヵ月18日</v>
      </c>
      <c r="M165" s="28">
        <v>529</v>
      </c>
      <c r="N165" s="28">
        <v>293</v>
      </c>
      <c r="O165" s="29">
        <f t="shared" si="27"/>
        <v>1.8054607508532423</v>
      </c>
      <c r="P165" s="30">
        <v>41</v>
      </c>
      <c r="Q165" s="22">
        <f t="shared" ca="1" si="28"/>
        <v>2.2990654205607477</v>
      </c>
      <c r="R165" s="39">
        <v>417</v>
      </c>
      <c r="S165" s="24">
        <f t="shared" ca="1" si="29"/>
        <v>23.383177570093459</v>
      </c>
      <c r="T165" s="24">
        <f t="shared" si="35"/>
        <v>10.170731707317072</v>
      </c>
      <c r="U165" s="30">
        <v>284</v>
      </c>
      <c r="V165" s="24">
        <f t="shared" ca="1" si="31"/>
        <v>15.925233644859814</v>
      </c>
      <c r="W165" s="24">
        <f t="shared" si="32"/>
        <v>6.9268292682926829</v>
      </c>
    </row>
    <row r="166" spans="1:23" x14ac:dyDescent="0.4">
      <c r="A166" s="26" t="s">
        <v>204</v>
      </c>
      <c r="B166" s="26" t="s">
        <v>205</v>
      </c>
      <c r="C166" s="13" t="str">
        <f t="shared" si="24"/>
        <v>https://x.com/Keikeimania</v>
      </c>
      <c r="D166" s="27">
        <v>45017</v>
      </c>
      <c r="E166" s="41" t="str">
        <f t="shared" ca="1" si="25"/>
        <v>1年2ヵ月</v>
      </c>
      <c r="F166" s="31" t="s">
        <v>16</v>
      </c>
      <c r="G166" s="32" t="s">
        <v>309</v>
      </c>
      <c r="H166" s="13" t="str">
        <f t="shared" si="26"/>
        <v>https://scratch.mit.edu/users/kekelolo/</v>
      </c>
      <c r="I166" s="34">
        <v>6</v>
      </c>
      <c r="J166" s="26" t="s">
        <v>433</v>
      </c>
      <c r="K166" s="20" t="str">
        <f t="shared" si="33"/>
        <v>2017/07/29</v>
      </c>
      <c r="L166" s="40" t="str">
        <f t="shared" ca="1" si="34"/>
        <v>6年10ヵ月8日</v>
      </c>
      <c r="M166" s="28">
        <v>1297</v>
      </c>
      <c r="N166" s="28">
        <v>3810</v>
      </c>
      <c r="O166" s="29">
        <f t="shared" si="27"/>
        <v>0.34041994750656168</v>
      </c>
      <c r="P166" s="30">
        <v>94</v>
      </c>
      <c r="Q166" s="22">
        <f t="shared" ca="1" si="28"/>
        <v>1.1261980830670926</v>
      </c>
      <c r="R166" s="39">
        <v>352</v>
      </c>
      <c r="S166" s="24">
        <f t="shared" ca="1" si="29"/>
        <v>4.2172523961661339</v>
      </c>
      <c r="T166" s="24">
        <f t="shared" si="35"/>
        <v>3.7446808510638299</v>
      </c>
      <c r="U166" s="30">
        <v>316</v>
      </c>
      <c r="V166" s="24">
        <f t="shared" ca="1" si="31"/>
        <v>3.7859424920127793</v>
      </c>
      <c r="W166" s="24">
        <f t="shared" si="32"/>
        <v>3.3617021276595747</v>
      </c>
    </row>
    <row r="167" spans="1:23" x14ac:dyDescent="0.4">
      <c r="A167" s="26" t="s">
        <v>389</v>
      </c>
      <c r="B167" s="26" t="s">
        <v>352</v>
      </c>
      <c r="C167" s="13" t="str">
        <f t="shared" si="24"/>
        <v>https://x.com/Kentanoojisan</v>
      </c>
      <c r="D167" s="27">
        <v>45017</v>
      </c>
      <c r="E167" s="41" t="str">
        <f t="shared" ca="1" si="25"/>
        <v>1年2ヵ月</v>
      </c>
      <c r="G167" s="32" t="s">
        <v>353</v>
      </c>
      <c r="H167" s="13" t="str">
        <f t="shared" si="26"/>
        <v>https://scratch.mit.edu/users/287228/</v>
      </c>
      <c r="I167" s="34">
        <v>6</v>
      </c>
      <c r="J167" s="26" t="s">
        <v>433</v>
      </c>
      <c r="K167" s="20" t="str">
        <f t="shared" si="33"/>
        <v>2022/01/05</v>
      </c>
      <c r="L167" s="40" t="str">
        <f t="shared" ca="1" si="34"/>
        <v>2年5ヵ月1日</v>
      </c>
      <c r="M167" s="28">
        <v>1822</v>
      </c>
      <c r="N167" s="28">
        <v>4172</v>
      </c>
      <c r="O167" s="29">
        <f t="shared" si="27"/>
        <v>0.43672099712368168</v>
      </c>
      <c r="P167" s="30">
        <v>161</v>
      </c>
      <c r="Q167" s="22">
        <f t="shared" ca="1" si="28"/>
        <v>5.4699886749716873</v>
      </c>
      <c r="R167" s="39">
        <v>1013</v>
      </c>
      <c r="S167" s="24">
        <f t="shared" ca="1" si="29"/>
        <v>34.416761041902603</v>
      </c>
      <c r="T167" s="24">
        <f t="shared" si="35"/>
        <v>6.2919254658385091</v>
      </c>
      <c r="U167" s="30">
        <v>974</v>
      </c>
      <c r="V167" s="24">
        <f t="shared" ca="1" si="31"/>
        <v>33.091732729331824</v>
      </c>
      <c r="W167" s="24">
        <f t="shared" si="32"/>
        <v>6.0496894409937889</v>
      </c>
    </row>
    <row r="168" spans="1:23" x14ac:dyDescent="0.4">
      <c r="A168" s="26" t="s">
        <v>84</v>
      </c>
      <c r="B168" s="26" t="s">
        <v>85</v>
      </c>
      <c r="C168" s="13" t="str">
        <f t="shared" si="24"/>
        <v>https://x.com/ketiketi87</v>
      </c>
      <c r="D168" s="27">
        <v>45261</v>
      </c>
      <c r="E168" s="41" t="str">
        <f t="shared" ca="1" si="25"/>
        <v>0年6ヵ月</v>
      </c>
      <c r="G168" s="32" t="s">
        <v>84</v>
      </c>
      <c r="H168" s="13" t="str">
        <f t="shared" si="26"/>
        <v>https://scratch.mit.edu/users/ketiketi87/</v>
      </c>
      <c r="I168" s="34">
        <v>6</v>
      </c>
      <c r="J168" s="26" t="s">
        <v>433</v>
      </c>
      <c r="K168" s="20" t="str">
        <f t="shared" si="33"/>
        <v>2018/10/10</v>
      </c>
      <c r="L168" s="40" t="str">
        <f t="shared" ca="1" si="34"/>
        <v>5年7ヵ月27日</v>
      </c>
      <c r="M168" s="28">
        <v>2176</v>
      </c>
      <c r="N168" s="28">
        <v>1379</v>
      </c>
      <c r="O168" s="29">
        <f t="shared" si="27"/>
        <v>1.5779550398839739</v>
      </c>
      <c r="P168" s="30">
        <v>288</v>
      </c>
      <c r="Q168" s="22">
        <f t="shared" ca="1" si="28"/>
        <v>4.1819941916747343</v>
      </c>
      <c r="R168" s="39">
        <v>686</v>
      </c>
      <c r="S168" s="24">
        <f t="shared" ca="1" si="29"/>
        <v>9.9612778315585686</v>
      </c>
      <c r="T168" s="24">
        <f t="shared" si="35"/>
        <v>2.3819444444444446</v>
      </c>
      <c r="U168" s="30">
        <v>867</v>
      </c>
      <c r="V168" s="24">
        <f t="shared" ca="1" si="31"/>
        <v>12.589545014520814</v>
      </c>
      <c r="W168" s="24">
        <f t="shared" si="32"/>
        <v>3.0104166666666665</v>
      </c>
    </row>
    <row r="169" spans="1:23" x14ac:dyDescent="0.4">
      <c r="A169" s="26" t="s">
        <v>505</v>
      </c>
      <c r="B169" s="26" t="s">
        <v>506</v>
      </c>
      <c r="C169" s="13" t="str">
        <f t="shared" si="24"/>
        <v>https://x.com/kicrage_Scratch</v>
      </c>
      <c r="D169" s="27">
        <v>45017</v>
      </c>
      <c r="E169" s="41" t="str">
        <f t="shared" ca="1" si="25"/>
        <v>1年2ヵ月</v>
      </c>
      <c r="G169" s="32" t="s">
        <v>327</v>
      </c>
      <c r="H169" s="13" t="str">
        <f t="shared" si="26"/>
        <v>https://scratch.mit.edu/users/kicrage_games/</v>
      </c>
      <c r="I169" s="34">
        <v>6</v>
      </c>
      <c r="J169" s="26" t="s">
        <v>433</v>
      </c>
      <c r="K169" s="20" t="str">
        <f t="shared" si="33"/>
        <v>2020/11/25</v>
      </c>
      <c r="L169" s="40" t="str">
        <f t="shared" ca="1" si="34"/>
        <v>3年6ヵ月12日</v>
      </c>
      <c r="M169" s="28">
        <v>1359</v>
      </c>
      <c r="N169" s="28">
        <v>1044</v>
      </c>
      <c r="O169" s="29">
        <f t="shared" si="27"/>
        <v>1.3017241379310345</v>
      </c>
      <c r="P169" s="30">
        <v>17</v>
      </c>
      <c r="Q169" s="22">
        <f t="shared" ca="1" si="28"/>
        <v>0.395655546935609</v>
      </c>
      <c r="R169" s="39">
        <v>558</v>
      </c>
      <c r="S169" s="24">
        <f t="shared" ca="1" si="29"/>
        <v>12.986811481768813</v>
      </c>
      <c r="T169" s="24">
        <f t="shared" si="35"/>
        <v>32.823529411764703</v>
      </c>
      <c r="U169" s="30">
        <v>404</v>
      </c>
      <c r="V169" s="24">
        <f t="shared" ca="1" si="31"/>
        <v>9.4026377036462367</v>
      </c>
      <c r="W169" s="24">
        <f t="shared" si="32"/>
        <v>23.764705882352942</v>
      </c>
    </row>
    <row r="170" spans="1:23" x14ac:dyDescent="0.4">
      <c r="A170" s="26" t="s">
        <v>529</v>
      </c>
      <c r="B170" s="26" t="s">
        <v>530</v>
      </c>
      <c r="C170" s="13" t="str">
        <f t="shared" si="24"/>
        <v>https://x.com/kyonoserifu</v>
      </c>
      <c r="D170" s="27">
        <v>44774</v>
      </c>
      <c r="E170" s="34" t="str">
        <f t="shared" ca="1" si="25"/>
        <v>1年10ヵ月</v>
      </c>
      <c r="G170" s="32" t="s">
        <v>530</v>
      </c>
      <c r="H170" s="13" t="str">
        <f t="shared" si="26"/>
        <v>https://scratch.mit.edu/users/39kyoto/</v>
      </c>
      <c r="I170" s="34">
        <v>6</v>
      </c>
      <c r="J170" s="26" t="s">
        <v>433</v>
      </c>
      <c r="K170" s="20" t="str">
        <f t="shared" si="33"/>
        <v>2020/07/11</v>
      </c>
      <c r="L170" s="40" t="str">
        <f t="shared" ca="1" si="34"/>
        <v>3年10ヵ月26日</v>
      </c>
      <c r="M170" s="28">
        <v>173</v>
      </c>
      <c r="N170" s="28">
        <v>160</v>
      </c>
      <c r="O170" s="29">
        <f t="shared" si="27"/>
        <v>1.08125</v>
      </c>
      <c r="P170" s="30">
        <v>21</v>
      </c>
      <c r="Q170" s="22">
        <f t="shared" ca="1" si="28"/>
        <v>0.44179523141654981</v>
      </c>
      <c r="R170" s="39">
        <v>178</v>
      </c>
      <c r="S170" s="24">
        <f t="shared" ca="1" si="29"/>
        <v>3.7447405329593271</v>
      </c>
      <c r="T170" s="24">
        <f t="shared" si="35"/>
        <v>8.4761904761904763</v>
      </c>
      <c r="U170" s="30">
        <v>158</v>
      </c>
      <c r="V170" s="24">
        <f t="shared" ca="1" si="31"/>
        <v>3.3239831697054698</v>
      </c>
      <c r="W170" s="24">
        <f t="shared" si="32"/>
        <v>7.5238095238095237</v>
      </c>
    </row>
    <row r="171" spans="1:23" x14ac:dyDescent="0.4">
      <c r="A171" s="26" t="s">
        <v>480</v>
      </c>
      <c r="B171" s="26" t="s">
        <v>481</v>
      </c>
      <c r="C171" s="13" t="str">
        <f t="shared" si="24"/>
        <v>https://x.com/lattefx_</v>
      </c>
      <c r="D171" s="27">
        <v>45323</v>
      </c>
      <c r="E171" s="34" t="str">
        <f t="shared" ca="1" si="25"/>
        <v>0年4ヵ月</v>
      </c>
      <c r="G171" s="32" t="s">
        <v>482</v>
      </c>
      <c r="H171" s="13" t="str">
        <f t="shared" si="26"/>
        <v>https://scratch.mit.edu/users/Lattefx_sabu/</v>
      </c>
      <c r="I171" s="34">
        <v>6</v>
      </c>
      <c r="J171" s="26" t="s">
        <v>433</v>
      </c>
      <c r="K171" s="20" t="str">
        <f t="shared" si="33"/>
        <v>2023/07/20</v>
      </c>
      <c r="L171" s="40" t="str">
        <f t="shared" ca="1" si="34"/>
        <v>0年10ヵ月17日</v>
      </c>
      <c r="M171" s="28">
        <v>0</v>
      </c>
      <c r="N171" s="28">
        <v>28</v>
      </c>
      <c r="O171" s="29">
        <f t="shared" si="27"/>
        <v>0</v>
      </c>
      <c r="P171" s="30">
        <v>0</v>
      </c>
      <c r="Q171" s="22">
        <f t="shared" ca="1" si="28"/>
        <v>0</v>
      </c>
      <c r="R171" s="39">
        <v>106</v>
      </c>
      <c r="S171" s="24">
        <f t="shared" ca="1" si="29"/>
        <v>9.8757763975155282</v>
      </c>
      <c r="T171" s="24">
        <f t="shared" si="35"/>
        <v>0</v>
      </c>
      <c r="U171" s="30">
        <v>99</v>
      </c>
      <c r="V171" s="24">
        <f t="shared" ca="1" si="31"/>
        <v>9.2236024844720497</v>
      </c>
      <c r="W171" s="24">
        <f t="shared" si="32"/>
        <v>0</v>
      </c>
    </row>
    <row r="172" spans="1:23" x14ac:dyDescent="0.4">
      <c r="A172" s="26" t="s">
        <v>78</v>
      </c>
      <c r="B172" s="26" t="s">
        <v>450</v>
      </c>
      <c r="C172" s="13" t="str">
        <f t="shared" si="24"/>
        <v>https://x.com/mangagroup_Scra</v>
      </c>
      <c r="D172" s="27">
        <v>44866</v>
      </c>
      <c r="E172" s="41" t="str">
        <f t="shared" ca="1" si="25"/>
        <v>1年7ヵ月</v>
      </c>
      <c r="G172" s="32" t="s">
        <v>451</v>
      </c>
      <c r="H172" s="13" t="str">
        <f t="shared" si="26"/>
        <v>https://scratch.mit.edu/users/mangagroup/</v>
      </c>
      <c r="I172" s="34">
        <v>6</v>
      </c>
      <c r="J172" s="26" t="s">
        <v>433</v>
      </c>
      <c r="K172" s="20" t="str">
        <f t="shared" si="33"/>
        <v>2021/08/04</v>
      </c>
      <c r="L172" s="40" t="str">
        <f t="shared" ca="1" si="34"/>
        <v>2年10ヵ月2日</v>
      </c>
      <c r="M172" s="28">
        <v>1454</v>
      </c>
      <c r="N172" s="28">
        <v>1262</v>
      </c>
      <c r="O172" s="29">
        <f t="shared" si="27"/>
        <v>1.1521394611727416</v>
      </c>
      <c r="P172" s="30">
        <v>342</v>
      </c>
      <c r="Q172" s="22">
        <f t="shared" ca="1" si="28"/>
        <v>9.8939247830279644</v>
      </c>
      <c r="R172" s="39">
        <v>129</v>
      </c>
      <c r="S172" s="24">
        <f t="shared" ca="1" si="29"/>
        <v>3.731918997107039</v>
      </c>
      <c r="T172" s="24">
        <f t="shared" si="35"/>
        <v>0.37719298245614036</v>
      </c>
      <c r="U172" s="30">
        <v>119</v>
      </c>
      <c r="V172" s="24">
        <f t="shared" ca="1" si="31"/>
        <v>3.442622950819672</v>
      </c>
      <c r="W172" s="24">
        <f t="shared" si="32"/>
        <v>0.34795321637426901</v>
      </c>
    </row>
    <row r="173" spans="1:23" x14ac:dyDescent="0.4">
      <c r="A173" s="26" t="s">
        <v>77</v>
      </c>
      <c r="B173" s="26" t="s">
        <v>76</v>
      </c>
      <c r="C173" s="13" t="str">
        <f t="shared" si="24"/>
        <v>https://x.com/matane_0913</v>
      </c>
      <c r="D173" s="27">
        <v>44743</v>
      </c>
      <c r="E173" s="41" t="str">
        <f t="shared" ca="1" si="25"/>
        <v>1年11ヵ月</v>
      </c>
      <c r="G173" s="32" t="s">
        <v>75</v>
      </c>
      <c r="H173" s="13" t="str">
        <f t="shared" si="26"/>
        <v>https://scratch.mit.edu/users/victoria_0913/</v>
      </c>
      <c r="I173" s="34">
        <v>6</v>
      </c>
      <c r="J173" s="26" t="s">
        <v>433</v>
      </c>
      <c r="K173" s="20" t="str">
        <f t="shared" si="33"/>
        <v>2023/08/25</v>
      </c>
      <c r="L173" s="40" t="str">
        <f t="shared" ca="1" si="34"/>
        <v>0年9ヵ月12日</v>
      </c>
      <c r="M173" s="28">
        <v>3</v>
      </c>
      <c r="N173" s="28">
        <v>23</v>
      </c>
      <c r="O173" s="29">
        <f t="shared" si="27"/>
        <v>0.13043478260869565</v>
      </c>
      <c r="P173" s="30">
        <v>0</v>
      </c>
      <c r="Q173" s="22">
        <f t="shared" ca="1" si="28"/>
        <v>0</v>
      </c>
      <c r="R173" s="39">
        <v>0</v>
      </c>
      <c r="S173" s="24">
        <f t="shared" ca="1" si="29"/>
        <v>0</v>
      </c>
      <c r="T173" s="24">
        <f t="shared" si="35"/>
        <v>0</v>
      </c>
      <c r="U173" s="30">
        <v>0</v>
      </c>
      <c r="V173" s="24">
        <f t="shared" ca="1" si="31"/>
        <v>0</v>
      </c>
      <c r="W173" s="24">
        <f t="shared" si="32"/>
        <v>0</v>
      </c>
    </row>
    <row r="174" spans="1:23" x14ac:dyDescent="0.4">
      <c r="A174" s="26" t="s">
        <v>421</v>
      </c>
      <c r="B174" s="26" t="s">
        <v>391</v>
      </c>
      <c r="C174" s="13" t="str">
        <f t="shared" si="24"/>
        <v>https://x.com/metaroro_H2</v>
      </c>
      <c r="D174" s="27">
        <v>44896</v>
      </c>
      <c r="E174" s="41" t="str">
        <f t="shared" ca="1" si="25"/>
        <v>1年6ヵ月</v>
      </c>
      <c r="G174" s="32" t="s">
        <v>392</v>
      </c>
      <c r="H174" s="13" t="str">
        <f t="shared" si="26"/>
        <v>https://scratch.mit.edu/users/dmmo-com-jp/</v>
      </c>
      <c r="I174" s="34">
        <v>6</v>
      </c>
      <c r="J174" s="26" t="s">
        <v>433</v>
      </c>
      <c r="K174" s="20" t="str">
        <f t="shared" si="33"/>
        <v>2022/06/08</v>
      </c>
      <c r="L174" s="40" t="str">
        <f t="shared" ca="1" si="34"/>
        <v>1年11ヵ月29日</v>
      </c>
      <c r="M174" s="28">
        <v>55</v>
      </c>
      <c r="N174" s="28">
        <v>134</v>
      </c>
      <c r="O174" s="29">
        <f t="shared" si="27"/>
        <v>0.41044776119402987</v>
      </c>
      <c r="P174" s="30">
        <v>126</v>
      </c>
      <c r="Q174" s="22">
        <f t="shared" ca="1" si="28"/>
        <v>5.1851851851851851</v>
      </c>
      <c r="R174" s="39">
        <v>165</v>
      </c>
      <c r="S174" s="24">
        <f t="shared" ca="1" si="29"/>
        <v>6.7901234567901234</v>
      </c>
      <c r="T174" s="24">
        <f t="shared" si="35"/>
        <v>1.3095238095238095</v>
      </c>
      <c r="U174" s="30">
        <v>159</v>
      </c>
      <c r="V174" s="24">
        <f t="shared" ca="1" si="31"/>
        <v>6.5432098765432096</v>
      </c>
      <c r="W174" s="24">
        <f t="shared" si="32"/>
        <v>1.2619047619047619</v>
      </c>
    </row>
    <row r="175" spans="1:23" x14ac:dyDescent="0.4">
      <c r="A175" s="26" t="s">
        <v>225</v>
      </c>
      <c r="B175" s="26" t="s">
        <v>226</v>
      </c>
      <c r="C175" s="13" t="str">
        <f t="shared" si="24"/>
        <v>https://x.com/midegathor</v>
      </c>
      <c r="D175" s="27">
        <v>44986</v>
      </c>
      <c r="E175" s="41" t="str">
        <f t="shared" ca="1" si="25"/>
        <v>1年3ヵ月</v>
      </c>
      <c r="G175" s="32" t="s">
        <v>226</v>
      </c>
      <c r="H175" s="13" t="str">
        <f t="shared" si="26"/>
        <v>https://scratch.mit.edu/users/Midelplex/</v>
      </c>
      <c r="I175" s="34">
        <v>6</v>
      </c>
      <c r="J175" s="26" t="s">
        <v>433</v>
      </c>
      <c r="K175" s="20" t="str">
        <f t="shared" si="33"/>
        <v>2023/10/08</v>
      </c>
      <c r="L175" s="40" t="str">
        <f t="shared" ca="1" si="34"/>
        <v>0年7ヵ月29日</v>
      </c>
      <c r="M175" s="28">
        <v>1</v>
      </c>
      <c r="N175" s="28">
        <v>10</v>
      </c>
      <c r="O175" s="29">
        <f t="shared" si="27"/>
        <v>0.1</v>
      </c>
      <c r="P175" s="30">
        <v>0</v>
      </c>
      <c r="Q175" s="22">
        <f t="shared" ca="1" si="28"/>
        <v>0</v>
      </c>
      <c r="R175" s="39">
        <v>0</v>
      </c>
      <c r="S175" s="24">
        <f t="shared" ca="1" si="29"/>
        <v>0</v>
      </c>
      <c r="T175" s="24">
        <f t="shared" si="35"/>
        <v>0</v>
      </c>
      <c r="U175" s="30">
        <v>0</v>
      </c>
      <c r="V175" s="24">
        <f t="shared" ca="1" si="31"/>
        <v>0</v>
      </c>
      <c r="W175" s="24">
        <f t="shared" si="32"/>
        <v>0</v>
      </c>
    </row>
    <row r="176" spans="1:23" x14ac:dyDescent="0.4">
      <c r="A176" s="26" t="s">
        <v>70</v>
      </c>
      <c r="B176" s="26" t="s">
        <v>69</v>
      </c>
      <c r="C176" s="13" t="str">
        <f t="shared" si="24"/>
        <v>https://x.com/mugidango___</v>
      </c>
      <c r="D176" s="27">
        <v>45261</v>
      </c>
      <c r="E176" s="41" t="str">
        <f t="shared" ca="1" si="25"/>
        <v>0年6ヵ月</v>
      </c>
      <c r="G176" s="32" t="s">
        <v>68</v>
      </c>
      <c r="H176" s="13" t="str">
        <f t="shared" si="26"/>
        <v>https://scratch.mit.edu/users/mugidango/</v>
      </c>
      <c r="I176" s="34">
        <v>6</v>
      </c>
      <c r="J176" s="26" t="s">
        <v>433</v>
      </c>
      <c r="K176" s="20" t="str">
        <f t="shared" si="33"/>
        <v>2023/09/05</v>
      </c>
      <c r="L176" s="40" t="str">
        <f t="shared" ca="1" si="34"/>
        <v>0年9ヵ月1日</v>
      </c>
      <c r="M176" s="28">
        <v>15</v>
      </c>
      <c r="N176" s="28">
        <v>9</v>
      </c>
      <c r="O176" s="29">
        <f t="shared" si="27"/>
        <v>1.6666666666666667</v>
      </c>
      <c r="P176" s="30">
        <v>1</v>
      </c>
      <c r="Q176" s="22">
        <f t="shared" ca="1" si="28"/>
        <v>0.1090909090909091</v>
      </c>
      <c r="R176" s="39">
        <v>5</v>
      </c>
      <c r="S176" s="24">
        <f t="shared" ca="1" si="29"/>
        <v>0.54545454545454553</v>
      </c>
      <c r="T176" s="24">
        <f t="shared" si="35"/>
        <v>5</v>
      </c>
      <c r="U176" s="30">
        <v>4</v>
      </c>
      <c r="V176" s="24">
        <f t="shared" ca="1" si="31"/>
        <v>0.4363636363636364</v>
      </c>
      <c r="W176" s="24">
        <f t="shared" si="32"/>
        <v>4</v>
      </c>
    </row>
    <row r="177" spans="1:23" x14ac:dyDescent="0.4">
      <c r="A177" s="26" t="s">
        <v>67</v>
      </c>
      <c r="B177" s="26" t="s">
        <v>66</v>
      </c>
      <c r="C177" s="13" t="str">
        <f t="shared" si="24"/>
        <v>https://x.com/nekopro20</v>
      </c>
      <c r="D177" s="27">
        <v>45078</v>
      </c>
      <c r="E177" s="41" t="str">
        <f t="shared" ca="1" si="25"/>
        <v>1年0ヵ月</v>
      </c>
      <c r="G177" s="32" t="s">
        <v>65</v>
      </c>
      <c r="H177" s="13" t="str">
        <f t="shared" si="26"/>
        <v>https://scratch.mit.edu/users/honey-milk1/</v>
      </c>
      <c r="I177" s="34">
        <v>6</v>
      </c>
      <c r="J177" s="26" t="s">
        <v>433</v>
      </c>
      <c r="K177" s="20" t="str">
        <f t="shared" si="33"/>
        <v>2021/05/04</v>
      </c>
      <c r="L177" s="40" t="str">
        <f t="shared" ca="1" si="34"/>
        <v>3年1ヵ月2日</v>
      </c>
      <c r="M177" s="28">
        <v>162</v>
      </c>
      <c r="N177" s="28">
        <v>1832</v>
      </c>
      <c r="O177" s="29">
        <f t="shared" si="27"/>
        <v>8.8427947598253273E-2</v>
      </c>
      <c r="P177" s="30">
        <v>94</v>
      </c>
      <c r="Q177" s="22">
        <f t="shared" ca="1" si="28"/>
        <v>2.4977856510186007</v>
      </c>
      <c r="R177" s="39">
        <v>978</v>
      </c>
      <c r="S177" s="24">
        <f t="shared" ca="1" si="29"/>
        <v>25.987599645704162</v>
      </c>
      <c r="T177" s="24">
        <f t="shared" si="35"/>
        <v>10.404255319148936</v>
      </c>
      <c r="U177" s="30">
        <v>656</v>
      </c>
      <c r="V177" s="24">
        <f t="shared" ca="1" si="31"/>
        <v>17.431355181576617</v>
      </c>
      <c r="W177" s="24">
        <f t="shared" si="32"/>
        <v>6.9787234042553195</v>
      </c>
    </row>
    <row r="178" spans="1:23" x14ac:dyDescent="0.4">
      <c r="A178" s="26" t="s">
        <v>380</v>
      </c>
      <c r="B178" s="26" t="s">
        <v>344</v>
      </c>
      <c r="C178" s="13" t="str">
        <f t="shared" si="24"/>
        <v>https://x.com/netminn012</v>
      </c>
      <c r="D178" s="27">
        <v>45139</v>
      </c>
      <c r="E178" s="41" t="str">
        <f t="shared" ca="1" si="25"/>
        <v>0年10ヵ月</v>
      </c>
      <c r="G178" s="32" t="s">
        <v>343</v>
      </c>
      <c r="H178" s="13" t="str">
        <f t="shared" si="26"/>
        <v>https://scratch.mit.edu/users/netminn012/</v>
      </c>
      <c r="I178" s="34">
        <v>6</v>
      </c>
      <c r="J178" s="26" t="s">
        <v>433</v>
      </c>
      <c r="K178" s="20" t="str">
        <f t="shared" si="33"/>
        <v>2022/09/09</v>
      </c>
      <c r="L178" s="40" t="str">
        <f t="shared" ca="1" si="34"/>
        <v>1年8ヵ月28日</v>
      </c>
      <c r="M178" s="28">
        <v>374</v>
      </c>
      <c r="N178" s="28">
        <v>234</v>
      </c>
      <c r="O178" s="29">
        <f t="shared" si="27"/>
        <v>1.5982905982905984</v>
      </c>
      <c r="P178" s="30">
        <v>114</v>
      </c>
      <c r="Q178" s="22">
        <f t="shared" ca="1" si="28"/>
        <v>5.3773584905660377</v>
      </c>
      <c r="R178" s="39">
        <v>479</v>
      </c>
      <c r="S178" s="24">
        <f t="shared" ca="1" si="29"/>
        <v>22.59433962264151</v>
      </c>
      <c r="T178" s="24">
        <f t="shared" si="35"/>
        <v>4.2017543859649127</v>
      </c>
      <c r="U178" s="30">
        <v>484</v>
      </c>
      <c r="V178" s="24">
        <f t="shared" ca="1" si="31"/>
        <v>22.830188679245285</v>
      </c>
      <c r="W178" s="24">
        <f t="shared" si="32"/>
        <v>4.2456140350877192</v>
      </c>
    </row>
    <row r="179" spans="1:23" x14ac:dyDescent="0.4">
      <c r="A179" s="26" t="s">
        <v>232</v>
      </c>
      <c r="B179" s="26" t="s">
        <v>233</v>
      </c>
      <c r="C179" s="13" t="str">
        <f t="shared" si="24"/>
        <v>https://x.com/NHHKkoppe</v>
      </c>
      <c r="D179" s="27">
        <v>44927</v>
      </c>
      <c r="E179" s="41" t="str">
        <f t="shared" ca="1" si="25"/>
        <v>1年5ヵ月</v>
      </c>
      <c r="G179" s="32" t="s">
        <v>322</v>
      </c>
      <c r="H179" s="13" t="str">
        <f t="shared" si="26"/>
        <v>https://scratch.mit.edu/users/koppepann_7698/</v>
      </c>
      <c r="I179" s="34">
        <v>6</v>
      </c>
      <c r="J179" s="26" t="s">
        <v>433</v>
      </c>
      <c r="K179" s="20" t="str">
        <f t="shared" si="33"/>
        <v>2022/03/25</v>
      </c>
      <c r="L179" s="40" t="str">
        <f t="shared" ca="1" si="34"/>
        <v>2年2ヵ月12日</v>
      </c>
      <c r="M179" s="28">
        <v>510</v>
      </c>
      <c r="N179" s="28">
        <v>1153</v>
      </c>
      <c r="O179" s="29">
        <f t="shared" si="27"/>
        <v>0.44232437120555074</v>
      </c>
      <c r="P179" s="30">
        <v>8</v>
      </c>
      <c r="Q179" s="22">
        <f t="shared" ca="1" si="28"/>
        <v>0.29850746268656714</v>
      </c>
      <c r="R179" s="39">
        <v>799</v>
      </c>
      <c r="S179" s="24">
        <f t="shared" ca="1" si="29"/>
        <v>29.813432835820894</v>
      </c>
      <c r="T179" s="24">
        <f t="shared" si="35"/>
        <v>99.875</v>
      </c>
      <c r="U179" s="30">
        <v>717</v>
      </c>
      <c r="V179" s="24">
        <f t="shared" ca="1" si="31"/>
        <v>26.753731343283583</v>
      </c>
      <c r="W179" s="24">
        <f t="shared" si="32"/>
        <v>89.625</v>
      </c>
    </row>
    <row r="180" spans="1:23" x14ac:dyDescent="0.4">
      <c r="A180" s="26" t="s">
        <v>472</v>
      </c>
      <c r="B180" s="26" t="s">
        <v>473</v>
      </c>
      <c r="C180" s="13" t="str">
        <f t="shared" si="24"/>
        <v>https://x.com/NiraTsukune</v>
      </c>
      <c r="D180" s="27">
        <v>45261</v>
      </c>
      <c r="E180" s="34" t="str">
        <f t="shared" ca="1" si="25"/>
        <v>0年6ヵ月</v>
      </c>
      <c r="G180" s="32" t="s">
        <v>472</v>
      </c>
      <c r="H180" s="13" t="str">
        <f t="shared" si="26"/>
        <v>https://scratch.mit.edu/users/NiraTsukune/</v>
      </c>
      <c r="I180" s="34">
        <v>6</v>
      </c>
      <c r="J180" s="26" t="s">
        <v>433</v>
      </c>
      <c r="K180" s="20" t="str">
        <f t="shared" si="33"/>
        <v>2022/10/16</v>
      </c>
      <c r="L180" s="40" t="str">
        <f t="shared" ca="1" si="34"/>
        <v>1年7ヵ月21日</v>
      </c>
      <c r="M180" s="28">
        <v>26</v>
      </c>
      <c r="N180" s="28">
        <v>48</v>
      </c>
      <c r="O180" s="29">
        <f t="shared" si="27"/>
        <v>0.54166666666666663</v>
      </c>
      <c r="P180" s="30">
        <v>17</v>
      </c>
      <c r="Q180" s="22">
        <f t="shared" ca="1" si="28"/>
        <v>0.85141903171953259</v>
      </c>
      <c r="R180" s="39">
        <v>2330</v>
      </c>
      <c r="S180" s="24">
        <f t="shared" ca="1" si="29"/>
        <v>116.69449081803006</v>
      </c>
      <c r="T180" s="24">
        <f t="shared" si="35"/>
        <v>137.05882352941177</v>
      </c>
      <c r="U180" s="30">
        <v>83</v>
      </c>
      <c r="V180" s="24">
        <f t="shared" ca="1" si="31"/>
        <v>4.1569282136894827</v>
      </c>
      <c r="W180" s="24">
        <f t="shared" si="32"/>
        <v>4.882352941176471</v>
      </c>
    </row>
    <row r="181" spans="1:23" x14ac:dyDescent="0.4">
      <c r="A181" s="26" t="s">
        <v>240</v>
      </c>
      <c r="B181" s="26" t="s">
        <v>454</v>
      </c>
      <c r="C181" s="13" t="str">
        <f t="shared" si="24"/>
        <v>https://x.com/oldcoinmania</v>
      </c>
      <c r="D181" s="27">
        <v>44774</v>
      </c>
      <c r="E181" s="41" t="str">
        <f t="shared" ca="1" si="25"/>
        <v>1年10ヵ月</v>
      </c>
      <c r="G181" s="32" t="s">
        <v>325</v>
      </c>
      <c r="H181" s="13" t="str">
        <f t="shared" si="26"/>
        <v>https://scratch.mit.edu/users/Oldcoinmania/</v>
      </c>
      <c r="I181" s="34">
        <v>6</v>
      </c>
      <c r="J181" s="26" t="s">
        <v>433</v>
      </c>
      <c r="K181" s="20" t="str">
        <f t="shared" si="33"/>
        <v>2020/08/26</v>
      </c>
      <c r="L181" s="40" t="str">
        <f t="shared" ca="1" si="34"/>
        <v>3年9ヵ月11日</v>
      </c>
      <c r="M181" s="28">
        <v>160</v>
      </c>
      <c r="N181" s="28">
        <v>1107</v>
      </c>
      <c r="O181" s="29">
        <f t="shared" si="27"/>
        <v>0.14453477868112014</v>
      </c>
      <c r="P181" s="30">
        <v>78</v>
      </c>
      <c r="Q181" s="22">
        <f t="shared" ca="1" si="28"/>
        <v>1.6956521739130435</v>
      </c>
      <c r="R181" s="39">
        <v>715</v>
      </c>
      <c r="S181" s="24">
        <f t="shared" ca="1" si="29"/>
        <v>15.543478260869565</v>
      </c>
      <c r="T181" s="24">
        <f t="shared" si="35"/>
        <v>9.1666666666666661</v>
      </c>
      <c r="U181" s="30">
        <v>636</v>
      </c>
      <c r="V181" s="24">
        <f t="shared" ca="1" si="31"/>
        <v>13.826086956521738</v>
      </c>
      <c r="W181" s="24">
        <f t="shared" si="32"/>
        <v>8.1538461538461533</v>
      </c>
    </row>
    <row r="182" spans="1:23" x14ac:dyDescent="0.4">
      <c r="A182" s="26" t="s">
        <v>64</v>
      </c>
      <c r="B182" s="26" t="s">
        <v>455</v>
      </c>
      <c r="C182" s="13" t="str">
        <f t="shared" si="24"/>
        <v>https://x.com/omokai_scratch</v>
      </c>
      <c r="D182" s="27">
        <v>45078</v>
      </c>
      <c r="E182" s="41" t="str">
        <f t="shared" ca="1" si="25"/>
        <v>1年0ヵ月</v>
      </c>
      <c r="G182" s="32" t="s">
        <v>63</v>
      </c>
      <c r="H182" s="13" t="str">
        <f t="shared" si="26"/>
        <v>https://scratch.mit.edu/users/omokai/</v>
      </c>
      <c r="I182" s="34">
        <v>6</v>
      </c>
      <c r="J182" s="26" t="s">
        <v>433</v>
      </c>
      <c r="K182" s="20" t="str">
        <f t="shared" si="33"/>
        <v>2021/07/09</v>
      </c>
      <c r="L182" s="40" t="str">
        <f t="shared" ca="1" si="34"/>
        <v>2年10ヵ月28日</v>
      </c>
      <c r="M182" s="28">
        <v>167</v>
      </c>
      <c r="N182" s="28">
        <v>1949</v>
      </c>
      <c r="O182" s="29">
        <f t="shared" si="27"/>
        <v>8.5684966649563876E-2</v>
      </c>
      <c r="P182" s="30">
        <v>172</v>
      </c>
      <c r="Q182" s="22">
        <f t="shared" ca="1" si="28"/>
        <v>4.8541862652869243</v>
      </c>
      <c r="R182" s="39">
        <v>1734</v>
      </c>
      <c r="S182" s="24">
        <f t="shared" ca="1" si="29"/>
        <v>48.936970837253064</v>
      </c>
      <c r="T182" s="24">
        <f t="shared" si="35"/>
        <v>10.081395348837209</v>
      </c>
      <c r="U182" s="30">
        <v>1688</v>
      </c>
      <c r="V182" s="24">
        <f t="shared" ca="1" si="31"/>
        <v>47.63875823142051</v>
      </c>
      <c r="W182" s="24">
        <f t="shared" si="32"/>
        <v>9.8139534883720927</v>
      </c>
    </row>
    <row r="183" spans="1:23" x14ac:dyDescent="0.4">
      <c r="A183" s="26" t="s">
        <v>241</v>
      </c>
      <c r="B183" s="26" t="s">
        <v>241</v>
      </c>
      <c r="C183" s="13" t="str">
        <f t="shared" si="24"/>
        <v>https://x.com/oohara1910</v>
      </c>
      <c r="D183" s="27">
        <v>44805</v>
      </c>
      <c r="E183" s="41" t="str">
        <f t="shared" ca="1" si="25"/>
        <v>1年9ヵ月</v>
      </c>
      <c r="G183" s="32" t="s">
        <v>241</v>
      </c>
      <c r="H183" s="13" t="str">
        <f t="shared" si="26"/>
        <v>https://scratch.mit.edu/users/oohara1910/</v>
      </c>
      <c r="I183" s="34">
        <v>6</v>
      </c>
      <c r="J183" s="26" t="s">
        <v>433</v>
      </c>
      <c r="K183" s="20" t="str">
        <f t="shared" si="33"/>
        <v>2014/11/22</v>
      </c>
      <c r="L183" s="40" t="str">
        <f t="shared" ca="1" si="34"/>
        <v>9年6ヵ月15日</v>
      </c>
      <c r="M183" s="28">
        <v>1167</v>
      </c>
      <c r="N183" s="28">
        <v>1275</v>
      </c>
      <c r="O183" s="29">
        <f t="shared" si="27"/>
        <v>0.91529411764705881</v>
      </c>
      <c r="P183" s="30">
        <v>164</v>
      </c>
      <c r="Q183" s="22">
        <f t="shared" ca="1" si="28"/>
        <v>1.4121699196326061</v>
      </c>
      <c r="R183" s="39">
        <v>244</v>
      </c>
      <c r="S183" s="24">
        <f t="shared" ca="1" si="29"/>
        <v>2.1010332950631456</v>
      </c>
      <c r="T183" s="24">
        <f t="shared" si="35"/>
        <v>1.4878048780487805</v>
      </c>
      <c r="U183" s="30">
        <v>296</v>
      </c>
      <c r="V183" s="24">
        <f t="shared" ca="1" si="31"/>
        <v>2.5487944890929963</v>
      </c>
      <c r="W183" s="24">
        <f t="shared" si="32"/>
        <v>1.8048780487804879</v>
      </c>
    </row>
    <row r="184" spans="1:23" x14ac:dyDescent="0.4">
      <c r="A184" s="26" t="s">
        <v>542</v>
      </c>
      <c r="B184" s="26" t="s">
        <v>543</v>
      </c>
      <c r="C184" s="13" t="str">
        <f t="shared" si="24"/>
        <v>https://x.com/poteto1534</v>
      </c>
      <c r="D184" s="27">
        <v>45139</v>
      </c>
      <c r="E184" s="34" t="str">
        <f t="shared" ca="1" si="25"/>
        <v>0年10ヵ月</v>
      </c>
      <c r="G184" s="32" t="s">
        <v>544</v>
      </c>
      <c r="H184" s="13" t="str">
        <f t="shared" si="26"/>
        <v>https://scratch.mit.edu/users/potepo_tomato/</v>
      </c>
      <c r="I184" s="34">
        <v>6</v>
      </c>
      <c r="J184" s="26" t="s">
        <v>433</v>
      </c>
      <c r="K184" s="20" t="str">
        <f t="shared" si="33"/>
        <v>2022/12/23</v>
      </c>
      <c r="L184" s="40" t="str">
        <f t="shared" ca="1" si="34"/>
        <v>1年5ヵ月14日</v>
      </c>
      <c r="M184" s="35">
        <v>693</v>
      </c>
      <c r="N184" s="35">
        <v>471</v>
      </c>
      <c r="O184" s="29">
        <f t="shared" si="27"/>
        <v>1.4713375796178343</v>
      </c>
      <c r="P184" s="30">
        <v>188</v>
      </c>
      <c r="Q184" s="22">
        <f t="shared" ca="1" si="28"/>
        <v>10.621468926553673</v>
      </c>
      <c r="R184" s="39">
        <v>1700</v>
      </c>
      <c r="S184" s="24">
        <f t="shared" ca="1" si="29"/>
        <v>96.045197740112997</v>
      </c>
      <c r="T184" s="24">
        <f t="shared" si="35"/>
        <v>9.0425531914893611</v>
      </c>
      <c r="U184" s="30">
        <v>1601</v>
      </c>
      <c r="V184" s="24">
        <f t="shared" ca="1" si="31"/>
        <v>90.451977401129952</v>
      </c>
      <c r="W184" s="24">
        <f t="shared" si="32"/>
        <v>8.5159574468085104</v>
      </c>
    </row>
    <row r="185" spans="1:23" x14ac:dyDescent="0.4">
      <c r="A185" s="26" t="s">
        <v>247</v>
      </c>
      <c r="B185" s="26" t="s">
        <v>248</v>
      </c>
      <c r="C185" s="13" t="str">
        <f t="shared" si="24"/>
        <v>https://x.com/rampotchi_</v>
      </c>
      <c r="D185" s="27">
        <v>44621</v>
      </c>
      <c r="E185" s="41" t="str">
        <f t="shared" ca="1" si="25"/>
        <v>2年3ヵ月</v>
      </c>
      <c r="G185" s="32" t="s">
        <v>328</v>
      </c>
      <c r="H185" s="13" t="str">
        <f t="shared" si="26"/>
        <v>https://scratch.mit.edu/users/rampotchi/</v>
      </c>
      <c r="I185" s="34">
        <v>6</v>
      </c>
      <c r="J185" s="26" t="s">
        <v>433</v>
      </c>
      <c r="K185" s="20" t="str">
        <f t="shared" si="33"/>
        <v>2023/02/12</v>
      </c>
      <c r="L185" s="40" t="str">
        <f t="shared" ca="1" si="34"/>
        <v>1年3ヵ月25日</v>
      </c>
      <c r="M185" s="28">
        <v>48</v>
      </c>
      <c r="N185" s="28">
        <v>46</v>
      </c>
      <c r="O185" s="29">
        <f t="shared" si="27"/>
        <v>1.0434782608695652</v>
      </c>
      <c r="P185" s="30">
        <v>8</v>
      </c>
      <c r="Q185" s="22">
        <f t="shared" ca="1" si="28"/>
        <v>0.5</v>
      </c>
      <c r="R185" s="39">
        <v>25</v>
      </c>
      <c r="S185" s="24">
        <f t="shared" ca="1" si="29"/>
        <v>1.5625</v>
      </c>
      <c r="T185" s="24">
        <f t="shared" si="35"/>
        <v>3.125</v>
      </c>
      <c r="U185" s="30">
        <v>21</v>
      </c>
      <c r="V185" s="24">
        <f t="shared" ca="1" si="31"/>
        <v>1.3125</v>
      </c>
      <c r="W185" s="24">
        <f t="shared" si="32"/>
        <v>2.625</v>
      </c>
    </row>
    <row r="186" spans="1:23" x14ac:dyDescent="0.4">
      <c r="A186" s="26" t="s">
        <v>379</v>
      </c>
      <c r="B186" s="26" t="s">
        <v>347</v>
      </c>
      <c r="C186" s="13" t="str">
        <f t="shared" si="24"/>
        <v>https://x.com/rip_kousan</v>
      </c>
      <c r="D186" s="27">
        <v>44835</v>
      </c>
      <c r="E186" s="41" t="str">
        <f t="shared" ca="1" si="25"/>
        <v>1年8ヵ月</v>
      </c>
      <c r="G186" s="32" t="s">
        <v>348</v>
      </c>
      <c r="H186" s="13" t="str">
        <f t="shared" si="26"/>
        <v>https://scratch.mit.edu/users/koukou38/</v>
      </c>
      <c r="I186" s="34">
        <v>6</v>
      </c>
      <c r="J186" s="26" t="s">
        <v>433</v>
      </c>
      <c r="K186" s="20" t="str">
        <f t="shared" si="33"/>
        <v>2019/09/10</v>
      </c>
      <c r="L186" s="40" t="str">
        <f t="shared" ca="1" si="34"/>
        <v>4年8ヵ月27日</v>
      </c>
      <c r="M186" s="28">
        <v>315</v>
      </c>
      <c r="N186" s="28">
        <v>927</v>
      </c>
      <c r="O186" s="29">
        <f t="shared" si="27"/>
        <v>0.33980582524271846</v>
      </c>
      <c r="P186" s="30">
        <v>255</v>
      </c>
      <c r="Q186" s="22">
        <f t="shared" ca="1" si="28"/>
        <v>4.4194107452339688</v>
      </c>
      <c r="R186" s="39">
        <v>222</v>
      </c>
      <c r="S186" s="24">
        <f t="shared" ca="1" si="29"/>
        <v>3.8474870017331022</v>
      </c>
      <c r="T186" s="24">
        <f t="shared" si="35"/>
        <v>0.87058823529411766</v>
      </c>
      <c r="U186" s="30">
        <v>147</v>
      </c>
      <c r="V186" s="24">
        <f t="shared" ca="1" si="31"/>
        <v>2.5476603119584054</v>
      </c>
      <c r="W186" s="24">
        <f t="shared" si="32"/>
        <v>0.57647058823529407</v>
      </c>
    </row>
    <row r="187" spans="1:23" x14ac:dyDescent="0.4">
      <c r="A187" s="26" t="s">
        <v>53</v>
      </c>
      <c r="B187" s="26" t="s">
        <v>52</v>
      </c>
      <c r="C187" s="13" t="str">
        <f t="shared" si="24"/>
        <v>https://x.com/Robusuke_Shrimp</v>
      </c>
      <c r="D187" s="27">
        <v>44501</v>
      </c>
      <c r="E187" s="41" t="str">
        <f t="shared" ca="1" si="25"/>
        <v>2年7ヵ月</v>
      </c>
      <c r="G187" s="32" t="s">
        <v>51</v>
      </c>
      <c r="H187" s="13" t="str">
        <f t="shared" si="26"/>
        <v>https://scratch.mit.edu/users/Robusuke/</v>
      </c>
      <c r="I187" s="34">
        <v>6</v>
      </c>
      <c r="J187" s="26" t="s">
        <v>433</v>
      </c>
      <c r="K187" s="20" t="str">
        <f t="shared" si="33"/>
        <v>2022/02/05</v>
      </c>
      <c r="L187" s="40" t="str">
        <f t="shared" ca="1" si="34"/>
        <v>2年4ヵ月1日</v>
      </c>
      <c r="M187" s="28">
        <v>49</v>
      </c>
      <c r="N187" s="28">
        <v>163</v>
      </c>
      <c r="O187" s="29">
        <f t="shared" si="27"/>
        <v>0.30061349693251532</v>
      </c>
      <c r="P187" s="30">
        <v>4</v>
      </c>
      <c r="Q187" s="22">
        <f t="shared" ca="1" si="28"/>
        <v>0.14084507042253522</v>
      </c>
      <c r="R187" s="39">
        <v>144</v>
      </c>
      <c r="S187" s="24">
        <f t="shared" ca="1" si="29"/>
        <v>5.070422535211268</v>
      </c>
      <c r="T187" s="24">
        <f t="shared" si="35"/>
        <v>36</v>
      </c>
      <c r="U187" s="30">
        <v>92</v>
      </c>
      <c r="V187" s="24">
        <f t="shared" ca="1" si="31"/>
        <v>3.23943661971831</v>
      </c>
      <c r="W187" s="24">
        <f t="shared" si="32"/>
        <v>23</v>
      </c>
    </row>
    <row r="188" spans="1:23" x14ac:dyDescent="0.4">
      <c r="A188" s="26" t="s">
        <v>545</v>
      </c>
      <c r="B188" s="26" t="s">
        <v>546</v>
      </c>
      <c r="C188" s="13" t="str">
        <f t="shared" si="24"/>
        <v>https://x.com/RRR_scratch</v>
      </c>
      <c r="D188" s="27">
        <v>44621</v>
      </c>
      <c r="E188" s="34" t="str">
        <f t="shared" ca="1" si="25"/>
        <v>2年3ヵ月</v>
      </c>
      <c r="G188" s="32" t="s">
        <v>547</v>
      </c>
      <c r="H188" s="13" t="str">
        <f t="shared" si="26"/>
        <v>https://scratch.mit.edu/users/RRR-scratch/</v>
      </c>
      <c r="I188" s="34">
        <v>6</v>
      </c>
      <c r="J188" s="26" t="s">
        <v>433</v>
      </c>
      <c r="K188" s="20" t="str">
        <f t="shared" si="33"/>
        <v>2020/11/29</v>
      </c>
      <c r="L188" s="40" t="str">
        <f t="shared" ca="1" si="34"/>
        <v>3年6ヵ月8日</v>
      </c>
      <c r="M188" s="35">
        <v>46</v>
      </c>
      <c r="N188" s="35">
        <v>4549</v>
      </c>
      <c r="O188" s="29">
        <f t="shared" si="27"/>
        <v>1.0112112552209276E-2</v>
      </c>
      <c r="P188" s="30">
        <v>56</v>
      </c>
      <c r="Q188" s="22">
        <f t="shared" ca="1" si="28"/>
        <v>1.3073929961089494</v>
      </c>
      <c r="R188" s="39">
        <v>401</v>
      </c>
      <c r="S188" s="24">
        <f t="shared" ca="1" si="29"/>
        <v>9.3618677042801544</v>
      </c>
      <c r="T188" s="24">
        <f t="shared" si="35"/>
        <v>7.1607142857142856</v>
      </c>
      <c r="U188" s="30">
        <v>209</v>
      </c>
      <c r="V188" s="24">
        <f t="shared" ca="1" si="31"/>
        <v>4.8793774319066143</v>
      </c>
      <c r="W188" s="24">
        <f t="shared" si="32"/>
        <v>3.7321428571428572</v>
      </c>
    </row>
    <row r="189" spans="1:23" x14ac:dyDescent="0.4">
      <c r="A189" s="26" t="s">
        <v>531</v>
      </c>
      <c r="B189" s="26" t="s">
        <v>532</v>
      </c>
      <c r="C189" s="13" t="str">
        <f t="shared" si="24"/>
        <v>https://x.com/SC_kaaakeee</v>
      </c>
      <c r="D189" s="27">
        <v>45413</v>
      </c>
      <c r="E189" s="34" t="str">
        <f t="shared" ca="1" si="25"/>
        <v>0年1ヵ月</v>
      </c>
      <c r="G189" s="32" t="s">
        <v>533</v>
      </c>
      <c r="H189" s="13" t="str">
        <f t="shared" si="26"/>
        <v>https://scratch.mit.edu/users/kaaakeee/</v>
      </c>
      <c r="I189" s="34">
        <v>6</v>
      </c>
      <c r="J189" s="26" t="s">
        <v>433</v>
      </c>
      <c r="K189" s="20" t="str">
        <f t="shared" si="33"/>
        <v>2018/04/18</v>
      </c>
      <c r="L189" s="40" t="str">
        <f t="shared" ca="1" si="34"/>
        <v>6年1ヵ月19日</v>
      </c>
      <c r="M189" s="28">
        <v>300</v>
      </c>
      <c r="N189" s="28">
        <v>5803</v>
      </c>
      <c r="O189" s="29">
        <f t="shared" si="27"/>
        <v>5.169739789763915E-2</v>
      </c>
      <c r="P189" s="30">
        <v>71</v>
      </c>
      <c r="Q189" s="22">
        <f t="shared" ca="1" si="28"/>
        <v>0.95046854082998655</v>
      </c>
      <c r="R189" s="39">
        <v>2563</v>
      </c>
      <c r="S189" s="24">
        <f t="shared" ca="1" si="29"/>
        <v>34.310575635876837</v>
      </c>
      <c r="T189" s="24">
        <f t="shared" si="35"/>
        <v>36.098591549295776</v>
      </c>
      <c r="U189" s="30">
        <v>2433</v>
      </c>
      <c r="V189" s="24">
        <f t="shared" ca="1" si="31"/>
        <v>32.570281124497988</v>
      </c>
      <c r="W189" s="24">
        <f t="shared" si="32"/>
        <v>34.267605633802816</v>
      </c>
    </row>
    <row r="190" spans="1:23" x14ac:dyDescent="0.4">
      <c r="A190" s="26" t="s">
        <v>253</v>
      </c>
      <c r="B190" s="26" t="s">
        <v>254</v>
      </c>
      <c r="C190" s="13" t="str">
        <f t="shared" si="24"/>
        <v>https://x.com/Sc_Pikurin</v>
      </c>
      <c r="D190" s="27">
        <v>44774</v>
      </c>
      <c r="E190" s="41" t="str">
        <f t="shared" ca="1" si="25"/>
        <v>1年10ヵ月</v>
      </c>
      <c r="G190" s="32" t="s">
        <v>254</v>
      </c>
      <c r="H190" s="13" t="str">
        <f t="shared" si="26"/>
        <v>https://scratch.mit.edu/users/Pikurin/</v>
      </c>
      <c r="I190" s="34">
        <v>6</v>
      </c>
      <c r="J190" s="26" t="s">
        <v>433</v>
      </c>
      <c r="K190" s="20" t="str">
        <f t="shared" si="33"/>
        <v>2020/05/20</v>
      </c>
      <c r="L190" s="40" t="str">
        <f t="shared" ca="1" si="34"/>
        <v>4年0ヵ月17日</v>
      </c>
      <c r="M190" s="28">
        <v>678</v>
      </c>
      <c r="N190" s="28">
        <v>8108</v>
      </c>
      <c r="O190" s="29">
        <f t="shared" si="27"/>
        <v>8.3621114948199307E-2</v>
      </c>
      <c r="P190" s="30">
        <v>711</v>
      </c>
      <c r="Q190" s="22">
        <f t="shared" ca="1" si="28"/>
        <v>14.431664411366713</v>
      </c>
      <c r="R190" s="39">
        <v>1952</v>
      </c>
      <c r="S190" s="24">
        <f t="shared" ca="1" si="29"/>
        <v>39.621109607577807</v>
      </c>
      <c r="T190" s="24">
        <f t="shared" si="35"/>
        <v>2.7454289732770745</v>
      </c>
      <c r="U190" s="30">
        <v>1965</v>
      </c>
      <c r="V190" s="24">
        <f t="shared" ca="1" si="31"/>
        <v>39.884979702300406</v>
      </c>
      <c r="W190" s="24">
        <f t="shared" si="32"/>
        <v>2.7637130801687766</v>
      </c>
    </row>
    <row r="191" spans="1:23" x14ac:dyDescent="0.4">
      <c r="A191" s="26" t="s">
        <v>588</v>
      </c>
      <c r="B191" s="26" t="s">
        <v>589</v>
      </c>
      <c r="C191" s="13" t="str">
        <f t="shared" si="24"/>
        <v>https://x.com/scratch_U_08</v>
      </c>
      <c r="D191" s="27">
        <v>45108</v>
      </c>
      <c r="E191" s="34" t="str">
        <f t="shared" ca="1" si="25"/>
        <v>0年11ヵ月</v>
      </c>
      <c r="G191" s="32" t="s">
        <v>589</v>
      </c>
      <c r="H191" s="13" t="str">
        <f t="shared" si="26"/>
        <v>https://scratch.mit.edu/users/U-08/</v>
      </c>
      <c r="I191" s="34">
        <v>6</v>
      </c>
      <c r="J191" s="26" t="s">
        <v>433</v>
      </c>
      <c r="K191" s="20" t="str">
        <f t="shared" si="33"/>
        <v>2020/07/23</v>
      </c>
      <c r="L191" s="40" t="str">
        <f t="shared" ca="1" si="34"/>
        <v>3年10ヵ月14日</v>
      </c>
      <c r="M191" s="35">
        <v>883</v>
      </c>
      <c r="N191" s="35">
        <v>970</v>
      </c>
      <c r="O191" s="29">
        <f t="shared" si="27"/>
        <v>0.91030927835051545</v>
      </c>
      <c r="P191" s="30">
        <v>81</v>
      </c>
      <c r="Q191" s="22">
        <f t="shared" ca="1" si="28"/>
        <v>1.7185289957567185</v>
      </c>
      <c r="R191" s="39">
        <v>573</v>
      </c>
      <c r="S191" s="24">
        <f t="shared" ca="1" si="29"/>
        <v>12.157001414427157</v>
      </c>
      <c r="T191" s="24">
        <v>402</v>
      </c>
      <c r="U191" s="30">
        <v>402</v>
      </c>
      <c r="V191" s="24">
        <f t="shared" ca="1" si="31"/>
        <v>8.5289957567185297</v>
      </c>
      <c r="W191" s="24">
        <f t="shared" si="32"/>
        <v>4.9629629629629628</v>
      </c>
    </row>
    <row r="192" spans="1:23" x14ac:dyDescent="0.4">
      <c r="A192" s="26" t="s">
        <v>585</v>
      </c>
      <c r="B192" s="26" t="s">
        <v>586</v>
      </c>
      <c r="C192" s="13" t="str">
        <f t="shared" si="24"/>
        <v>https://x.com/scratch221171</v>
      </c>
      <c r="D192" s="27">
        <v>44682</v>
      </c>
      <c r="E192" s="34" t="str">
        <f t="shared" ca="1" si="25"/>
        <v>2年1ヵ月</v>
      </c>
      <c r="G192" s="32" t="s">
        <v>587</v>
      </c>
      <c r="H192" s="13" t="str">
        <f t="shared" si="26"/>
        <v>https://scratch.mit.edu/users/221171/</v>
      </c>
      <c r="I192" s="34">
        <v>6</v>
      </c>
      <c r="J192" s="26" t="s">
        <v>433</v>
      </c>
      <c r="K192" s="20" t="str">
        <f t="shared" si="33"/>
        <v>2021/04/27</v>
      </c>
      <c r="L192" s="40" t="str">
        <f t="shared" ca="1" si="34"/>
        <v>3年1ヵ月10日</v>
      </c>
      <c r="M192" s="35">
        <v>30</v>
      </c>
      <c r="N192" s="35">
        <v>169</v>
      </c>
      <c r="O192" s="29">
        <f t="shared" si="27"/>
        <v>0.17751479289940827</v>
      </c>
      <c r="P192" s="30">
        <v>25</v>
      </c>
      <c r="Q192" s="22">
        <f t="shared" ca="1" si="28"/>
        <v>0.66021126760563376</v>
      </c>
      <c r="R192" s="39">
        <v>71</v>
      </c>
      <c r="S192" s="24">
        <f t="shared" ca="1" si="29"/>
        <v>1.875</v>
      </c>
      <c r="T192" s="24">
        <f t="shared" ref="T192:T202" si="36">IFERROR(R192/$P192,0)</f>
        <v>2.84</v>
      </c>
      <c r="U192" s="30">
        <v>72</v>
      </c>
      <c r="V192" s="24">
        <f t="shared" ca="1" si="31"/>
        <v>1.9014084507042253</v>
      </c>
      <c r="W192" s="24">
        <f t="shared" si="32"/>
        <v>2.88</v>
      </c>
    </row>
    <row r="193" spans="1:23" x14ac:dyDescent="0.4">
      <c r="A193" s="26" t="s">
        <v>376</v>
      </c>
      <c r="B193" s="26" t="s">
        <v>367</v>
      </c>
      <c r="C193" s="13" t="str">
        <f t="shared" si="24"/>
        <v>https://x.com/scratch3411</v>
      </c>
      <c r="D193" s="27">
        <v>45108</v>
      </c>
      <c r="E193" s="41" t="str">
        <f t="shared" ca="1" si="25"/>
        <v>0年11ヵ月</v>
      </c>
      <c r="G193" s="32" t="s">
        <v>368</v>
      </c>
      <c r="H193" s="13" t="str">
        <f t="shared" si="26"/>
        <v>https://scratch.mit.edu/users/hankyurenmei3/</v>
      </c>
      <c r="I193" s="34">
        <v>6</v>
      </c>
      <c r="J193" s="26" t="s">
        <v>433</v>
      </c>
      <c r="K193" s="20" t="str">
        <f t="shared" si="33"/>
        <v>2022/07/23</v>
      </c>
      <c r="L193" s="40" t="str">
        <f t="shared" ca="1" si="34"/>
        <v>1年10ヵ月14日</v>
      </c>
      <c r="M193" s="28">
        <v>1775</v>
      </c>
      <c r="N193" s="28">
        <v>971</v>
      </c>
      <c r="O193" s="29">
        <f t="shared" si="27"/>
        <v>1.8280123583934089</v>
      </c>
      <c r="P193" s="30">
        <v>60</v>
      </c>
      <c r="Q193" s="22">
        <f t="shared" ca="1" si="28"/>
        <v>2.6315789473684208</v>
      </c>
      <c r="R193" s="39">
        <v>2342</v>
      </c>
      <c r="S193" s="24">
        <f t="shared" ca="1" si="29"/>
        <v>102.71929824561403</v>
      </c>
      <c r="T193" s="24">
        <f t="shared" si="36"/>
        <v>39.033333333333331</v>
      </c>
      <c r="U193" s="30">
        <v>1622</v>
      </c>
      <c r="V193" s="24">
        <f t="shared" ca="1" si="31"/>
        <v>71.140350877192986</v>
      </c>
      <c r="W193" s="24">
        <f t="shared" si="32"/>
        <v>27.033333333333335</v>
      </c>
    </row>
    <row r="194" spans="1:23" x14ac:dyDescent="0.4">
      <c r="A194" s="26" t="s">
        <v>255</v>
      </c>
      <c r="B194" s="26" t="s">
        <v>256</v>
      </c>
      <c r="C194" s="13" t="str">
        <f t="shared" ref="C194:C202" si="37">"https://x.com/"&amp;A194</f>
        <v>https://x.com/scratchsatuma</v>
      </c>
      <c r="D194" s="27">
        <v>45047</v>
      </c>
      <c r="E194" s="41" t="str">
        <f t="shared" ref="E194:E202" ca="1" si="38">DATEDIF($D194,TODAY(),"y")&amp;"年"&amp;DATEDIF($D194,TODAY(),"YM")&amp;"ヵ月"</f>
        <v>1年1ヵ月</v>
      </c>
      <c r="G194" s="32" t="s">
        <v>331</v>
      </c>
      <c r="H194" s="13" t="str">
        <f t="shared" ref="H194:H202" si="39">"https://scratch.mit.edu/users/"&amp;G194&amp;"/"</f>
        <v>https://scratch.mit.edu/users/satumanooimo-nosuke/</v>
      </c>
      <c r="I194" s="34">
        <v>6</v>
      </c>
      <c r="J194" s="26" t="s">
        <v>433</v>
      </c>
      <c r="K194" s="20" t="str">
        <f t="shared" si="33"/>
        <v>2022/06/17</v>
      </c>
      <c r="L194" s="40" t="str">
        <f t="shared" ca="1" si="34"/>
        <v>1年11ヵ月20日</v>
      </c>
      <c r="M194" s="28">
        <v>95</v>
      </c>
      <c r="N194" s="28">
        <v>1010</v>
      </c>
      <c r="O194" s="29">
        <f t="shared" ref="O194:O202" si="40">M194/N194</f>
        <v>9.405940594059406E-2</v>
      </c>
      <c r="P194" s="30">
        <v>63</v>
      </c>
      <c r="Q194" s="22">
        <f t="shared" ref="Q194:Q202" ca="1" si="41">IFERROR(P194/(DATEDIF(K194,TODAY(),"d")/30),0)</f>
        <v>2.625</v>
      </c>
      <c r="R194" s="39">
        <v>819</v>
      </c>
      <c r="S194" s="24">
        <f t="shared" ref="S194:S202" ca="1" si="42">IFERROR(R194/(DATEDIF($K194,TODAY(),"d")/30),0)</f>
        <v>34.125</v>
      </c>
      <c r="T194" s="24">
        <f t="shared" si="36"/>
        <v>13</v>
      </c>
      <c r="U194" s="30">
        <v>784</v>
      </c>
      <c r="V194" s="24">
        <f t="shared" ref="V194:V202" ca="1" si="43">IFERROR(U194/(DATEDIF(K194,TODAY(),"d")/30),0)</f>
        <v>32.666666666666664</v>
      </c>
      <c r="W194" s="24">
        <f t="shared" ref="W194:W202" si="44">IFERROR(U194/$P194,0)</f>
        <v>12.444444444444445</v>
      </c>
    </row>
    <row r="195" spans="1:23" x14ac:dyDescent="0.4">
      <c r="A195" s="26" t="s">
        <v>48</v>
      </c>
      <c r="B195" s="26" t="s">
        <v>47</v>
      </c>
      <c r="C195" s="13" t="str">
        <f t="shared" si="37"/>
        <v>https://x.com/Selene_Cosmo0</v>
      </c>
      <c r="D195" s="27">
        <v>45047</v>
      </c>
      <c r="E195" s="41" t="str">
        <f t="shared" ca="1" si="38"/>
        <v>1年1ヵ月</v>
      </c>
      <c r="G195" s="32" t="s">
        <v>46</v>
      </c>
      <c r="H195" s="13" t="str">
        <f t="shared" si="39"/>
        <v>https://scratch.mit.edu/users/_o0Seina0o_/</v>
      </c>
      <c r="I195" s="34">
        <v>6</v>
      </c>
      <c r="J195" s="26" t="s">
        <v>433</v>
      </c>
      <c r="K195" s="20" t="str">
        <f t="shared" ref="K195:K202" si="45">SUBSTITUTE(MID(_xlfn.WEBSERVICE("https://api.scratch.mit.edu/users/"&amp;$G195),FIND("joined",_xlfn.WEBSERVICE("https://api.scratch.mit.edu/users/"&amp;$G195))+9,10),"-","/")</f>
        <v>2023/05/10</v>
      </c>
      <c r="L195" s="40" t="str">
        <f t="shared" ref="L195:L202" ca="1" si="46">DATEDIF($K195,TODAY(),"y")&amp;"年"&amp;DATEDIF($K195,TODAY(),"YM")&amp;"ヵ月"&amp;DATEDIF($K195,TODAY(),"md")&amp;"日"</f>
        <v>1年0ヵ月27日</v>
      </c>
      <c r="M195" s="28">
        <v>217</v>
      </c>
      <c r="N195" s="28">
        <v>90</v>
      </c>
      <c r="O195" s="29">
        <f t="shared" si="40"/>
        <v>2.411111111111111</v>
      </c>
      <c r="P195" s="30">
        <v>32</v>
      </c>
      <c r="Q195" s="22">
        <f t="shared" ca="1" si="41"/>
        <v>2.4427480916030535</v>
      </c>
      <c r="R195" s="39">
        <v>158</v>
      </c>
      <c r="S195" s="24">
        <f t="shared" ca="1" si="42"/>
        <v>12.061068702290077</v>
      </c>
      <c r="T195" s="24">
        <f t="shared" si="36"/>
        <v>4.9375</v>
      </c>
      <c r="U195" s="30">
        <v>125</v>
      </c>
      <c r="V195" s="24">
        <f t="shared" ca="1" si="43"/>
        <v>9.5419847328244281</v>
      </c>
      <c r="W195" s="24">
        <f t="shared" si="44"/>
        <v>3.90625</v>
      </c>
    </row>
    <row r="196" spans="1:23" x14ac:dyDescent="0.4">
      <c r="A196" s="26" t="s">
        <v>257</v>
      </c>
      <c r="B196" s="26" t="s">
        <v>258</v>
      </c>
      <c r="C196" s="13" t="str">
        <f t="shared" si="37"/>
        <v>https://x.com/siopanfactory</v>
      </c>
      <c r="D196" s="27">
        <v>45261</v>
      </c>
      <c r="E196" s="41" t="str">
        <f t="shared" ca="1" si="38"/>
        <v>0年6ヵ月</v>
      </c>
      <c r="G196" s="32" t="s">
        <v>332</v>
      </c>
      <c r="H196" s="13" t="str">
        <f t="shared" si="39"/>
        <v>https://scratch.mit.edu/users/siopan-1210/</v>
      </c>
      <c r="I196" s="34">
        <v>6</v>
      </c>
      <c r="J196" s="26" t="s">
        <v>433</v>
      </c>
      <c r="K196" s="20" t="str">
        <f t="shared" si="45"/>
        <v>2023/12/01</v>
      </c>
      <c r="L196" s="40" t="str">
        <f t="shared" ca="1" si="46"/>
        <v>0年6ヵ月5日</v>
      </c>
      <c r="M196" s="28">
        <v>7</v>
      </c>
      <c r="N196" s="28">
        <v>81</v>
      </c>
      <c r="O196" s="29">
        <f t="shared" si="40"/>
        <v>8.6419753086419748E-2</v>
      </c>
      <c r="P196" s="30">
        <v>8</v>
      </c>
      <c r="Q196" s="22">
        <f t="shared" ca="1" si="41"/>
        <v>1.2765957446808511</v>
      </c>
      <c r="R196" s="39">
        <v>118</v>
      </c>
      <c r="S196" s="24">
        <f t="shared" ca="1" si="42"/>
        <v>18.829787234042552</v>
      </c>
      <c r="T196" s="24">
        <f t="shared" si="36"/>
        <v>14.75</v>
      </c>
      <c r="U196" s="30">
        <v>110</v>
      </c>
      <c r="V196" s="24">
        <f t="shared" ca="1" si="43"/>
        <v>17.553191489361701</v>
      </c>
      <c r="W196" s="24">
        <f t="shared" si="44"/>
        <v>13.75</v>
      </c>
    </row>
    <row r="197" spans="1:23" x14ac:dyDescent="0.4">
      <c r="A197" s="26" t="s">
        <v>41</v>
      </c>
      <c r="B197" s="26" t="s">
        <v>40</v>
      </c>
      <c r="C197" s="13" t="str">
        <f t="shared" si="37"/>
        <v>https://x.com/Syobon0w0</v>
      </c>
      <c r="D197" s="27">
        <v>44317</v>
      </c>
      <c r="E197" s="41" t="str">
        <f t="shared" ca="1" si="38"/>
        <v>3年1ヵ月</v>
      </c>
      <c r="F197" s="31" t="s">
        <v>16</v>
      </c>
      <c r="G197" s="32" t="s">
        <v>39</v>
      </c>
      <c r="H197" s="13" t="str">
        <f t="shared" si="39"/>
        <v>https://scratch.mit.edu/users/doublescherry/</v>
      </c>
      <c r="I197" s="34">
        <v>6</v>
      </c>
      <c r="J197" s="26" t="s">
        <v>433</v>
      </c>
      <c r="K197" s="20" t="str">
        <f t="shared" si="45"/>
        <v>2018/09/04</v>
      </c>
      <c r="L197" s="40" t="str">
        <f t="shared" ca="1" si="46"/>
        <v>5年9ヵ月2日</v>
      </c>
      <c r="M197" s="28">
        <v>208</v>
      </c>
      <c r="N197" s="28">
        <v>2518</v>
      </c>
      <c r="O197" s="29">
        <f t="shared" si="40"/>
        <v>8.2605242255758535E-2</v>
      </c>
      <c r="P197" s="30">
        <v>216</v>
      </c>
      <c r="Q197" s="22">
        <f t="shared" ca="1" si="41"/>
        <v>3.0827783063748813</v>
      </c>
      <c r="R197" s="39">
        <v>422</v>
      </c>
      <c r="S197" s="24">
        <f t="shared" ca="1" si="42"/>
        <v>6.0228353948620361</v>
      </c>
      <c r="T197" s="24">
        <f t="shared" si="36"/>
        <v>1.9537037037037037</v>
      </c>
      <c r="U197" s="30">
        <v>327</v>
      </c>
      <c r="V197" s="24">
        <f t="shared" ca="1" si="43"/>
        <v>4.6669838249286393</v>
      </c>
      <c r="W197" s="24">
        <f t="shared" si="44"/>
        <v>1.5138888888888888</v>
      </c>
    </row>
    <row r="198" spans="1:23" x14ac:dyDescent="0.4">
      <c r="A198" s="26" t="s">
        <v>263</v>
      </c>
      <c r="B198" s="26" t="s">
        <v>264</v>
      </c>
      <c r="C198" s="13" t="str">
        <f t="shared" si="37"/>
        <v>https://x.com/TAKA_no232323</v>
      </c>
      <c r="D198" s="27">
        <v>45170</v>
      </c>
      <c r="E198" s="41" t="str">
        <f t="shared" ca="1" si="38"/>
        <v>0年9ヵ月</v>
      </c>
      <c r="G198" s="32" t="s">
        <v>537</v>
      </c>
      <c r="H198" s="13" t="str">
        <f t="shared" si="39"/>
        <v>https://scratch.mit.edu/users/TAKA-kitsu/</v>
      </c>
      <c r="I198" s="34">
        <v>6</v>
      </c>
      <c r="J198" s="26" t="s">
        <v>433</v>
      </c>
      <c r="K198" s="20" t="str">
        <f t="shared" si="45"/>
        <v>2024/02/28</v>
      </c>
      <c r="L198" s="40" t="str">
        <f t="shared" ca="1" si="46"/>
        <v>0年3ヵ月9日</v>
      </c>
      <c r="M198" s="28">
        <v>43</v>
      </c>
      <c r="N198" s="28">
        <v>81</v>
      </c>
      <c r="O198" s="29">
        <f t="shared" si="40"/>
        <v>0.53086419753086422</v>
      </c>
      <c r="P198" s="30">
        <v>8</v>
      </c>
      <c r="Q198" s="22">
        <f t="shared" ca="1" si="41"/>
        <v>2.4242424242424243</v>
      </c>
      <c r="R198" s="39">
        <v>39</v>
      </c>
      <c r="S198" s="24">
        <f t="shared" ca="1" si="42"/>
        <v>11.818181818181818</v>
      </c>
      <c r="T198" s="24">
        <f t="shared" si="36"/>
        <v>4.875</v>
      </c>
      <c r="U198" s="30">
        <v>38</v>
      </c>
      <c r="V198" s="24">
        <f t="shared" ca="1" si="43"/>
        <v>11.515151515151516</v>
      </c>
      <c r="W198" s="24">
        <f t="shared" si="44"/>
        <v>4.75</v>
      </c>
    </row>
    <row r="199" spans="1:23" ht="15" customHeight="1" x14ac:dyDescent="0.4">
      <c r="A199" s="26" t="s">
        <v>538</v>
      </c>
      <c r="B199" s="26" t="s">
        <v>539</v>
      </c>
      <c r="C199" s="13" t="str">
        <f t="shared" si="37"/>
        <v>https://x.com/tanabe1419675</v>
      </c>
      <c r="D199" s="27">
        <v>45413</v>
      </c>
      <c r="E199" s="34" t="str">
        <f t="shared" ca="1" si="38"/>
        <v>0年1ヵ月</v>
      </c>
      <c r="G199" s="32" t="s">
        <v>539</v>
      </c>
      <c r="H199" s="13" t="str">
        <f t="shared" si="39"/>
        <v>https://scratch.mit.edu/users/tanabe14/</v>
      </c>
      <c r="I199" s="34">
        <v>6</v>
      </c>
      <c r="J199" s="26" t="s">
        <v>433</v>
      </c>
      <c r="K199" s="20" t="str">
        <f t="shared" si="45"/>
        <v>2023/02/24</v>
      </c>
      <c r="L199" s="40" t="str">
        <f t="shared" ca="1" si="46"/>
        <v>1年3ヵ月13日</v>
      </c>
      <c r="M199" s="35">
        <v>37</v>
      </c>
      <c r="N199" s="35">
        <v>1829</v>
      </c>
      <c r="O199" s="29">
        <f t="shared" si="40"/>
        <v>2.0229633679606344E-2</v>
      </c>
      <c r="P199" s="30">
        <v>64</v>
      </c>
      <c r="Q199" s="22">
        <f t="shared" ca="1" si="41"/>
        <v>4.1025641025641031</v>
      </c>
      <c r="R199" s="39">
        <v>296</v>
      </c>
      <c r="S199" s="24">
        <f t="shared" ca="1" si="42"/>
        <v>18.974358974358974</v>
      </c>
      <c r="T199" s="24">
        <f t="shared" si="36"/>
        <v>4.625</v>
      </c>
      <c r="U199" s="30">
        <v>150</v>
      </c>
      <c r="V199" s="24">
        <f t="shared" ca="1" si="43"/>
        <v>9.615384615384615</v>
      </c>
      <c r="W199" s="24">
        <f t="shared" si="44"/>
        <v>2.34375</v>
      </c>
    </row>
    <row r="200" spans="1:23" x14ac:dyDescent="0.4">
      <c r="A200" s="26" t="s">
        <v>523</v>
      </c>
      <c r="B200" s="26" t="s">
        <v>524</v>
      </c>
      <c r="C200" s="13" t="str">
        <f t="shared" si="37"/>
        <v>https://x.com/ukitomoukinet</v>
      </c>
      <c r="D200" s="27">
        <v>44713</v>
      </c>
      <c r="E200" s="34" t="str">
        <f t="shared" ca="1" si="38"/>
        <v>2年0ヵ月</v>
      </c>
      <c r="G200" s="32" t="s">
        <v>525</v>
      </c>
      <c r="H200" s="13" t="str">
        <f t="shared" si="39"/>
        <v>https://scratch.mit.edu/users/okutopas/</v>
      </c>
      <c r="I200" s="34">
        <v>6</v>
      </c>
      <c r="J200" s="26" t="s">
        <v>433</v>
      </c>
      <c r="K200" s="20" t="str">
        <f t="shared" si="45"/>
        <v>2018/08/14</v>
      </c>
      <c r="L200" s="40" t="str">
        <f t="shared" ca="1" si="46"/>
        <v>5年9ヵ月23日</v>
      </c>
      <c r="M200" s="35">
        <v>795</v>
      </c>
      <c r="N200" s="35">
        <v>561</v>
      </c>
      <c r="O200" s="29">
        <f t="shared" si="40"/>
        <v>1.4171122994652405</v>
      </c>
      <c r="P200" s="30">
        <v>155</v>
      </c>
      <c r="Q200" s="22">
        <f t="shared" ca="1" si="41"/>
        <v>2.1902967498822421</v>
      </c>
      <c r="R200" s="39">
        <v>227</v>
      </c>
      <c r="S200" s="24">
        <f t="shared" ca="1" si="42"/>
        <v>3.2077249175694771</v>
      </c>
      <c r="T200" s="24">
        <f t="shared" si="36"/>
        <v>1.4645161290322581</v>
      </c>
      <c r="U200" s="30">
        <v>174</v>
      </c>
      <c r="V200" s="24">
        <f t="shared" ca="1" si="43"/>
        <v>2.4587847385774846</v>
      </c>
      <c r="W200" s="24">
        <f t="shared" si="44"/>
        <v>1.1225806451612903</v>
      </c>
    </row>
    <row r="201" spans="1:23" x14ac:dyDescent="0.4">
      <c r="A201" s="26" t="s">
        <v>483</v>
      </c>
      <c r="B201" s="26" t="s">
        <v>484</v>
      </c>
      <c r="C201" s="13" t="str">
        <f t="shared" si="37"/>
        <v>https://x.com/uooooooooououo</v>
      </c>
      <c r="D201" s="27">
        <v>45200</v>
      </c>
      <c r="E201" s="34" t="str">
        <f t="shared" ca="1" si="38"/>
        <v>0年8ヵ月</v>
      </c>
      <c r="G201" s="32" t="s">
        <v>485</v>
      </c>
      <c r="H201" s="13" t="str">
        <f t="shared" si="39"/>
        <v>https://scratch.mit.edu/users/shachikou/</v>
      </c>
      <c r="I201" s="34">
        <v>6</v>
      </c>
      <c r="J201" s="26" t="s">
        <v>433</v>
      </c>
      <c r="K201" s="20" t="str">
        <f t="shared" si="45"/>
        <v>2018/05/13</v>
      </c>
      <c r="L201" s="40" t="str">
        <f t="shared" ca="1" si="46"/>
        <v>6年0ヵ月24日</v>
      </c>
      <c r="M201" s="35">
        <v>83</v>
      </c>
      <c r="N201" s="35">
        <v>175</v>
      </c>
      <c r="O201" s="29">
        <f t="shared" si="40"/>
        <v>0.47428571428571431</v>
      </c>
      <c r="P201" s="30">
        <v>11</v>
      </c>
      <c r="Q201" s="22">
        <f t="shared" ca="1" si="41"/>
        <v>0.14891696750902528</v>
      </c>
      <c r="R201" s="39">
        <v>263</v>
      </c>
      <c r="S201" s="24">
        <f t="shared" ca="1" si="42"/>
        <v>3.5604693140794228</v>
      </c>
      <c r="T201" s="24">
        <f t="shared" si="36"/>
        <v>23.90909090909091</v>
      </c>
      <c r="U201" s="30">
        <v>258</v>
      </c>
      <c r="V201" s="24">
        <f t="shared" ca="1" si="43"/>
        <v>3.4927797833935021</v>
      </c>
      <c r="W201" s="24">
        <f t="shared" si="44"/>
        <v>23.454545454545453</v>
      </c>
    </row>
    <row r="202" spans="1:23" x14ac:dyDescent="0.4">
      <c r="A202" s="26" t="s">
        <v>502</v>
      </c>
      <c r="B202" s="26" t="s">
        <v>503</v>
      </c>
      <c r="C202" s="13" t="str">
        <f t="shared" si="37"/>
        <v>https://x.com/yuriy97028800</v>
      </c>
      <c r="D202" s="27">
        <v>44896</v>
      </c>
      <c r="E202" s="34" t="str">
        <f t="shared" ca="1" si="38"/>
        <v>1年6ヵ月</v>
      </c>
      <c r="G202" s="32" t="s">
        <v>504</v>
      </c>
      <c r="H202" s="13" t="str">
        <f t="shared" si="39"/>
        <v>https://scratch.mit.edu/users/buisupo_omura/</v>
      </c>
      <c r="I202" s="34">
        <v>6</v>
      </c>
      <c r="J202" s="26" t="s">
        <v>433</v>
      </c>
      <c r="K202" s="20" t="str">
        <f t="shared" si="45"/>
        <v>2022/12/25</v>
      </c>
      <c r="L202" s="40" t="str">
        <f t="shared" ca="1" si="46"/>
        <v>1年5ヵ月12日</v>
      </c>
      <c r="M202" s="35">
        <v>66</v>
      </c>
      <c r="N202" s="35">
        <v>379</v>
      </c>
      <c r="O202" s="29">
        <f t="shared" si="40"/>
        <v>0.17414248021108181</v>
      </c>
      <c r="P202" s="30">
        <v>4</v>
      </c>
      <c r="Q202" s="22">
        <f t="shared" ca="1" si="41"/>
        <v>0.22684310018903592</v>
      </c>
      <c r="R202" s="39">
        <v>537</v>
      </c>
      <c r="S202" s="24">
        <f t="shared" ca="1" si="42"/>
        <v>30.453686200378073</v>
      </c>
      <c r="T202" s="24">
        <f t="shared" si="36"/>
        <v>134.25</v>
      </c>
      <c r="U202" s="30">
        <v>464</v>
      </c>
      <c r="V202" s="24">
        <f t="shared" ca="1" si="43"/>
        <v>26.313799621928165</v>
      </c>
      <c r="W202" s="24">
        <f t="shared" si="44"/>
        <v>116</v>
      </c>
    </row>
  </sheetData>
  <sortState xmlns:xlrd2="http://schemas.microsoft.com/office/spreadsheetml/2017/richdata2" ref="A2:X202">
    <sortCondition ref="I2:I202"/>
    <sortCondition ref="A2:A202"/>
  </sortState>
  <phoneticPr fontId="2"/>
  <conditionalFormatting sqref="A1:F1">
    <cfRule type="expression" dxfId="4" priority="6">
      <formula>COUNTIF(A$1,"*")&gt;0</formula>
    </cfRule>
  </conditionalFormatting>
  <conditionalFormatting sqref="A1:F1048576">
    <cfRule type="expression" dxfId="3" priority="8">
      <formula>IF(COUNTIF($A1,"*")&gt;0,MOD(ROW(),2)=1,)</formula>
    </cfRule>
  </conditionalFormatting>
  <conditionalFormatting sqref="A1:X1048576">
    <cfRule type="expression" dxfId="2" priority="13">
      <formula>COUNTIF($G1,"*")&gt;0</formula>
    </cfRule>
  </conditionalFormatting>
  <conditionalFormatting sqref="G1:X1">
    <cfRule type="expression" dxfId="1" priority="5">
      <formula>COUNTIF($E1,"*")&gt;0</formula>
    </cfRule>
  </conditionalFormatting>
  <conditionalFormatting sqref="G1:X1048576">
    <cfRule type="expression" dxfId="0" priority="7">
      <formula>IF(COUNTIF($G1,"*")&gt;0,MOD(ROW(),2)=1,)</formula>
    </cfRule>
  </conditionalFormatting>
  <printOptions horizontalCentered="1"/>
  <pageMargins left="0.25" right="0.25" top="0.75" bottom="0.75" header="0.3" footer="0.3"/>
  <pageSetup paperSize="9" scale="26" fitToHeight="0" orientation="landscape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まいっしゅ</dc:creator>
  <cp:lastModifiedBy>まいっしゅ</cp:lastModifiedBy>
  <cp:lastPrinted>2024-04-12T01:50:12Z</cp:lastPrinted>
  <dcterms:created xsi:type="dcterms:W3CDTF">2024-04-08T11:32:12Z</dcterms:created>
  <dcterms:modified xsi:type="dcterms:W3CDTF">2024-06-06T08:30:42Z</dcterms:modified>
</cp:coreProperties>
</file>