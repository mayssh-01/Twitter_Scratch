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yys\Documents\コミュニティ\Twitter&amp;Scratch_アカウント所有者リスト\xlsx\"/>
    </mc:Choice>
  </mc:AlternateContent>
  <xr:revisionPtr revIDLastSave="0" documentId="13_ncr:1_{62EC31CA-23E6-4E2B-8EB8-7F0BAF19FA11}" xr6:coauthVersionLast="47" xr6:coauthVersionMax="47" xr10:uidLastSave="{00000000-0000-0000-0000-000000000000}"/>
  <bookViews>
    <workbookView xWindow="-108" yWindow="-108" windowWidth="23256" windowHeight="12456" xr2:uid="{E0BED85B-D914-4668-94FF-916E3165713D}"/>
  </bookViews>
  <sheets>
    <sheet name="Sheet1" sheetId="1" r:id="rId1"/>
  </sheets>
  <definedNames>
    <definedName name="_xlnm._FilterDatabase" localSheetId="0" hidden="1">Sheet1!$A$1:$M$28</definedName>
    <definedName name="_xlnm.Print_Titles" localSheetId="0">Sheet1!$1:$1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" l="1"/>
  <c r="C3" i="1" l="1"/>
  <c r="K202" i="1"/>
  <c r="L202" i="1" s="1"/>
  <c r="H202" i="1"/>
  <c r="E202" i="1"/>
  <c r="C202" i="1"/>
  <c r="K201" i="1"/>
  <c r="L201" i="1" s="1"/>
  <c r="H201" i="1"/>
  <c r="E201" i="1"/>
  <c r="C201" i="1"/>
  <c r="K200" i="1"/>
  <c r="L200" i="1" s="1"/>
  <c r="H200" i="1"/>
  <c r="E200" i="1"/>
  <c r="C200" i="1"/>
  <c r="K199" i="1"/>
  <c r="L199" i="1" s="1"/>
  <c r="H199" i="1"/>
  <c r="E199" i="1"/>
  <c r="C199" i="1"/>
  <c r="L198" i="1"/>
  <c r="K198" i="1"/>
  <c r="H198" i="1"/>
  <c r="E198" i="1"/>
  <c r="C198" i="1"/>
  <c r="K197" i="1"/>
  <c r="L197" i="1" s="1"/>
  <c r="H197" i="1"/>
  <c r="E197" i="1"/>
  <c r="C197" i="1"/>
  <c r="K196" i="1"/>
  <c r="L196" i="1" s="1"/>
  <c r="H196" i="1"/>
  <c r="E196" i="1"/>
  <c r="C196" i="1"/>
  <c r="K195" i="1"/>
  <c r="L195" i="1" s="1"/>
  <c r="H195" i="1"/>
  <c r="E195" i="1"/>
  <c r="C195" i="1"/>
  <c r="K194" i="1"/>
  <c r="L194" i="1" s="1"/>
  <c r="H194" i="1"/>
  <c r="E194" i="1"/>
  <c r="C194" i="1"/>
  <c r="K193" i="1"/>
  <c r="L193" i="1" s="1"/>
  <c r="H193" i="1"/>
  <c r="E193" i="1"/>
  <c r="C193" i="1"/>
  <c r="L192" i="1"/>
  <c r="K192" i="1"/>
  <c r="H192" i="1"/>
  <c r="E192" i="1"/>
  <c r="C192" i="1"/>
  <c r="K191" i="1"/>
  <c r="L191" i="1" s="1"/>
  <c r="H191" i="1"/>
  <c r="E191" i="1"/>
  <c r="C191" i="1"/>
  <c r="K190" i="1"/>
  <c r="L190" i="1" s="1"/>
  <c r="H190" i="1"/>
  <c r="E190" i="1"/>
  <c r="C190" i="1"/>
  <c r="K189" i="1"/>
  <c r="L189" i="1" s="1"/>
  <c r="H189" i="1"/>
  <c r="E189" i="1"/>
  <c r="C189" i="1"/>
  <c r="K188" i="1"/>
  <c r="L188" i="1" s="1"/>
  <c r="H188" i="1"/>
  <c r="E188" i="1"/>
  <c r="C188" i="1"/>
  <c r="K187" i="1"/>
  <c r="L187" i="1" s="1"/>
  <c r="H187" i="1"/>
  <c r="E187" i="1"/>
  <c r="C187" i="1"/>
  <c r="K186" i="1"/>
  <c r="L186" i="1" s="1"/>
  <c r="H186" i="1"/>
  <c r="E186" i="1"/>
  <c r="C186" i="1"/>
  <c r="K185" i="1"/>
  <c r="L185" i="1" s="1"/>
  <c r="H185" i="1"/>
  <c r="E185" i="1"/>
  <c r="C185" i="1"/>
  <c r="K184" i="1"/>
  <c r="L184" i="1" s="1"/>
  <c r="H184" i="1"/>
  <c r="E184" i="1"/>
  <c r="C184" i="1"/>
  <c r="K183" i="1"/>
  <c r="L183" i="1" s="1"/>
  <c r="H183" i="1"/>
  <c r="E183" i="1"/>
  <c r="C183" i="1"/>
  <c r="K182" i="1"/>
  <c r="L182" i="1" s="1"/>
  <c r="H182" i="1"/>
  <c r="E182" i="1"/>
  <c r="C182" i="1"/>
  <c r="K181" i="1"/>
  <c r="L181" i="1" s="1"/>
  <c r="H181" i="1"/>
  <c r="E181" i="1"/>
  <c r="C181" i="1"/>
  <c r="K180" i="1"/>
  <c r="L180" i="1" s="1"/>
  <c r="H180" i="1"/>
  <c r="E180" i="1"/>
  <c r="C180" i="1"/>
  <c r="K179" i="1"/>
  <c r="L179" i="1" s="1"/>
  <c r="H179" i="1"/>
  <c r="E179" i="1"/>
  <c r="C179" i="1"/>
  <c r="K178" i="1"/>
  <c r="L178" i="1" s="1"/>
  <c r="H178" i="1"/>
  <c r="E178" i="1"/>
  <c r="C178" i="1"/>
  <c r="K177" i="1"/>
  <c r="L177" i="1" s="1"/>
  <c r="H177" i="1"/>
  <c r="E177" i="1"/>
  <c r="C177" i="1"/>
  <c r="K176" i="1"/>
  <c r="L176" i="1" s="1"/>
  <c r="H176" i="1"/>
  <c r="E176" i="1"/>
  <c r="C176" i="1"/>
  <c r="K175" i="1"/>
  <c r="L175" i="1" s="1"/>
  <c r="H175" i="1"/>
  <c r="E175" i="1"/>
  <c r="C175" i="1"/>
  <c r="K174" i="1"/>
  <c r="L174" i="1" s="1"/>
  <c r="H174" i="1"/>
  <c r="E174" i="1"/>
  <c r="C174" i="1"/>
  <c r="K173" i="1"/>
  <c r="L173" i="1" s="1"/>
  <c r="H173" i="1"/>
  <c r="E173" i="1"/>
  <c r="C173" i="1"/>
  <c r="K172" i="1"/>
  <c r="L172" i="1" s="1"/>
  <c r="H172" i="1"/>
  <c r="E172" i="1"/>
  <c r="C172" i="1"/>
  <c r="K171" i="1"/>
  <c r="L171" i="1" s="1"/>
  <c r="H171" i="1"/>
  <c r="E171" i="1"/>
  <c r="C171" i="1"/>
  <c r="K170" i="1"/>
  <c r="L170" i="1" s="1"/>
  <c r="H170" i="1"/>
  <c r="E170" i="1"/>
  <c r="C170" i="1"/>
  <c r="K169" i="1"/>
  <c r="L169" i="1" s="1"/>
  <c r="H169" i="1"/>
  <c r="E169" i="1"/>
  <c r="C169" i="1"/>
  <c r="K168" i="1"/>
  <c r="L168" i="1" s="1"/>
  <c r="H168" i="1"/>
  <c r="E168" i="1"/>
  <c r="C168" i="1"/>
  <c r="K167" i="1"/>
  <c r="L167" i="1" s="1"/>
  <c r="H167" i="1"/>
  <c r="E167" i="1"/>
  <c r="C167" i="1"/>
  <c r="K166" i="1"/>
  <c r="L166" i="1" s="1"/>
  <c r="H166" i="1"/>
  <c r="E166" i="1"/>
  <c r="C166" i="1"/>
  <c r="K165" i="1"/>
  <c r="L165" i="1" s="1"/>
  <c r="H165" i="1"/>
  <c r="E165" i="1"/>
  <c r="C165" i="1"/>
  <c r="L164" i="1"/>
  <c r="K164" i="1"/>
  <c r="H164" i="1"/>
  <c r="E164" i="1"/>
  <c r="C164" i="1"/>
  <c r="K163" i="1"/>
  <c r="L163" i="1" s="1"/>
  <c r="H163" i="1"/>
  <c r="E163" i="1"/>
  <c r="C163" i="1"/>
  <c r="K162" i="1"/>
  <c r="L162" i="1" s="1"/>
  <c r="H162" i="1"/>
  <c r="E162" i="1"/>
  <c r="C162" i="1"/>
  <c r="K161" i="1"/>
  <c r="L161" i="1" s="1"/>
  <c r="H161" i="1"/>
  <c r="E161" i="1"/>
  <c r="C161" i="1"/>
  <c r="K160" i="1"/>
  <c r="L160" i="1" s="1"/>
  <c r="H160" i="1"/>
  <c r="E160" i="1"/>
  <c r="C160" i="1"/>
  <c r="K159" i="1"/>
  <c r="L159" i="1" s="1"/>
  <c r="H159" i="1"/>
  <c r="E159" i="1"/>
  <c r="C159" i="1"/>
  <c r="K158" i="1"/>
  <c r="L158" i="1" s="1"/>
  <c r="H158" i="1"/>
  <c r="E158" i="1"/>
  <c r="C158" i="1"/>
  <c r="K157" i="1"/>
  <c r="L157" i="1" s="1"/>
  <c r="H157" i="1"/>
  <c r="E157" i="1"/>
  <c r="C157" i="1"/>
  <c r="L156" i="1"/>
  <c r="K156" i="1"/>
  <c r="H156" i="1"/>
  <c r="E156" i="1"/>
  <c r="C156" i="1"/>
  <c r="K155" i="1"/>
  <c r="L155" i="1" s="1"/>
  <c r="H155" i="1"/>
  <c r="E155" i="1"/>
  <c r="C155" i="1"/>
  <c r="K154" i="1"/>
  <c r="L154" i="1" s="1"/>
  <c r="H154" i="1"/>
  <c r="E154" i="1"/>
  <c r="C154" i="1"/>
  <c r="K153" i="1"/>
  <c r="L153" i="1" s="1"/>
  <c r="H153" i="1"/>
  <c r="E153" i="1"/>
  <c r="C153" i="1"/>
  <c r="K152" i="1"/>
  <c r="L152" i="1" s="1"/>
  <c r="H152" i="1"/>
  <c r="E152" i="1"/>
  <c r="C152" i="1"/>
  <c r="K151" i="1"/>
  <c r="L151" i="1" s="1"/>
  <c r="H151" i="1"/>
  <c r="E151" i="1"/>
  <c r="C151" i="1"/>
  <c r="K150" i="1"/>
  <c r="L150" i="1" s="1"/>
  <c r="H150" i="1"/>
  <c r="E150" i="1"/>
  <c r="C150" i="1"/>
  <c r="K149" i="1"/>
  <c r="L149" i="1" s="1"/>
  <c r="H149" i="1"/>
  <c r="E149" i="1"/>
  <c r="C149" i="1"/>
  <c r="K148" i="1"/>
  <c r="L148" i="1" s="1"/>
  <c r="H148" i="1"/>
  <c r="E148" i="1"/>
  <c r="C148" i="1"/>
  <c r="K147" i="1"/>
  <c r="L147" i="1" s="1"/>
  <c r="H147" i="1"/>
  <c r="E147" i="1"/>
  <c r="C147" i="1"/>
  <c r="K146" i="1"/>
  <c r="L146" i="1" s="1"/>
  <c r="H146" i="1"/>
  <c r="E146" i="1"/>
  <c r="C146" i="1"/>
  <c r="K145" i="1"/>
  <c r="L145" i="1" s="1"/>
  <c r="H145" i="1"/>
  <c r="E145" i="1"/>
  <c r="C145" i="1"/>
  <c r="K144" i="1"/>
  <c r="L144" i="1" s="1"/>
  <c r="H144" i="1"/>
  <c r="E144" i="1"/>
  <c r="C144" i="1"/>
  <c r="K143" i="1"/>
  <c r="L143" i="1" s="1"/>
  <c r="H143" i="1"/>
  <c r="E143" i="1"/>
  <c r="C143" i="1"/>
  <c r="K142" i="1"/>
  <c r="L142" i="1" s="1"/>
  <c r="H142" i="1"/>
  <c r="E142" i="1"/>
  <c r="C142" i="1"/>
  <c r="K141" i="1"/>
  <c r="L141" i="1" s="1"/>
  <c r="H141" i="1"/>
  <c r="E141" i="1"/>
  <c r="C141" i="1"/>
  <c r="K140" i="1"/>
  <c r="L140" i="1" s="1"/>
  <c r="H140" i="1"/>
  <c r="E140" i="1"/>
  <c r="C140" i="1"/>
  <c r="K139" i="1"/>
  <c r="L139" i="1" s="1"/>
  <c r="H139" i="1"/>
  <c r="E139" i="1"/>
  <c r="C139" i="1"/>
  <c r="K138" i="1"/>
  <c r="L138" i="1" s="1"/>
  <c r="H138" i="1"/>
  <c r="E138" i="1"/>
  <c r="C138" i="1"/>
  <c r="K137" i="1"/>
  <c r="L137" i="1" s="1"/>
  <c r="H137" i="1"/>
  <c r="E137" i="1"/>
  <c r="C137" i="1"/>
  <c r="K136" i="1"/>
  <c r="L136" i="1" s="1"/>
  <c r="H136" i="1"/>
  <c r="E136" i="1"/>
  <c r="C136" i="1"/>
  <c r="K135" i="1"/>
  <c r="L135" i="1" s="1"/>
  <c r="H135" i="1"/>
  <c r="E135" i="1"/>
  <c r="C135" i="1"/>
  <c r="K134" i="1"/>
  <c r="L134" i="1" s="1"/>
  <c r="H134" i="1"/>
  <c r="E134" i="1"/>
  <c r="C134" i="1"/>
  <c r="K133" i="1"/>
  <c r="L133" i="1" s="1"/>
  <c r="H133" i="1"/>
  <c r="E133" i="1"/>
  <c r="C133" i="1"/>
  <c r="K132" i="1"/>
  <c r="L132" i="1" s="1"/>
  <c r="H132" i="1"/>
  <c r="E132" i="1"/>
  <c r="C132" i="1"/>
  <c r="K131" i="1"/>
  <c r="L131" i="1" s="1"/>
  <c r="H131" i="1"/>
  <c r="E131" i="1"/>
  <c r="C131" i="1"/>
  <c r="K130" i="1"/>
  <c r="L130" i="1" s="1"/>
  <c r="H130" i="1"/>
  <c r="E130" i="1"/>
  <c r="C130" i="1"/>
  <c r="K129" i="1"/>
  <c r="L129" i="1" s="1"/>
  <c r="H129" i="1"/>
  <c r="E129" i="1"/>
  <c r="C129" i="1"/>
  <c r="K128" i="1"/>
  <c r="L128" i="1" s="1"/>
  <c r="H128" i="1"/>
  <c r="E128" i="1"/>
  <c r="C128" i="1"/>
  <c r="K127" i="1"/>
  <c r="L127" i="1" s="1"/>
  <c r="H127" i="1"/>
  <c r="E127" i="1"/>
  <c r="C127" i="1"/>
  <c r="K126" i="1"/>
  <c r="L126" i="1" s="1"/>
  <c r="H126" i="1"/>
  <c r="E126" i="1"/>
  <c r="C126" i="1"/>
  <c r="K125" i="1"/>
  <c r="L125" i="1" s="1"/>
  <c r="H125" i="1"/>
  <c r="E125" i="1"/>
  <c r="C125" i="1"/>
  <c r="K124" i="1"/>
  <c r="L124" i="1" s="1"/>
  <c r="H124" i="1"/>
  <c r="E124" i="1"/>
  <c r="C124" i="1"/>
  <c r="K123" i="1"/>
  <c r="L123" i="1" s="1"/>
  <c r="H123" i="1"/>
  <c r="E123" i="1"/>
  <c r="C123" i="1"/>
  <c r="K122" i="1"/>
  <c r="L122" i="1" s="1"/>
  <c r="H122" i="1"/>
  <c r="E122" i="1"/>
  <c r="C122" i="1"/>
  <c r="K121" i="1"/>
  <c r="L121" i="1" s="1"/>
  <c r="H121" i="1"/>
  <c r="E121" i="1"/>
  <c r="C121" i="1"/>
  <c r="K120" i="1"/>
  <c r="L120" i="1" s="1"/>
  <c r="H120" i="1"/>
  <c r="E120" i="1"/>
  <c r="C120" i="1"/>
  <c r="K119" i="1"/>
  <c r="L119" i="1" s="1"/>
  <c r="H119" i="1"/>
  <c r="E119" i="1"/>
  <c r="C119" i="1"/>
  <c r="K118" i="1"/>
  <c r="L118" i="1" s="1"/>
  <c r="H118" i="1"/>
  <c r="E118" i="1"/>
  <c r="C118" i="1"/>
  <c r="K117" i="1"/>
  <c r="L117" i="1" s="1"/>
  <c r="H117" i="1"/>
  <c r="E117" i="1"/>
  <c r="C117" i="1"/>
  <c r="K116" i="1"/>
  <c r="L116" i="1" s="1"/>
  <c r="H116" i="1"/>
  <c r="E116" i="1"/>
  <c r="C116" i="1"/>
  <c r="K115" i="1"/>
  <c r="L115" i="1" s="1"/>
  <c r="H115" i="1"/>
  <c r="E115" i="1"/>
  <c r="C115" i="1"/>
  <c r="K114" i="1"/>
  <c r="L114" i="1" s="1"/>
  <c r="H114" i="1"/>
  <c r="E114" i="1"/>
  <c r="C114" i="1"/>
  <c r="K113" i="1"/>
  <c r="L113" i="1" s="1"/>
  <c r="H113" i="1"/>
  <c r="E113" i="1"/>
  <c r="C113" i="1"/>
  <c r="K112" i="1"/>
  <c r="L112" i="1" s="1"/>
  <c r="H112" i="1"/>
  <c r="E112" i="1"/>
  <c r="C112" i="1"/>
  <c r="K111" i="1"/>
  <c r="L111" i="1" s="1"/>
  <c r="H111" i="1"/>
  <c r="E111" i="1"/>
  <c r="C111" i="1"/>
  <c r="K110" i="1"/>
  <c r="L110" i="1" s="1"/>
  <c r="H110" i="1"/>
  <c r="E110" i="1"/>
  <c r="C110" i="1"/>
  <c r="K109" i="1"/>
  <c r="L109" i="1" s="1"/>
  <c r="H109" i="1"/>
  <c r="E109" i="1"/>
  <c r="C109" i="1"/>
  <c r="K108" i="1"/>
  <c r="L108" i="1" s="1"/>
  <c r="H108" i="1"/>
  <c r="E108" i="1"/>
  <c r="C108" i="1"/>
  <c r="K107" i="1"/>
  <c r="L107" i="1" s="1"/>
  <c r="H107" i="1"/>
  <c r="E107" i="1"/>
  <c r="C107" i="1"/>
  <c r="K106" i="1"/>
  <c r="L106" i="1" s="1"/>
  <c r="H106" i="1"/>
  <c r="E106" i="1"/>
  <c r="C106" i="1"/>
  <c r="K105" i="1"/>
  <c r="L105" i="1" s="1"/>
  <c r="H105" i="1"/>
  <c r="E105" i="1"/>
  <c r="C105" i="1"/>
  <c r="K104" i="1"/>
  <c r="L104" i="1" s="1"/>
  <c r="H104" i="1"/>
  <c r="E104" i="1"/>
  <c r="C104" i="1"/>
  <c r="K103" i="1"/>
  <c r="L103" i="1" s="1"/>
  <c r="H103" i="1"/>
  <c r="E103" i="1"/>
  <c r="C103" i="1"/>
  <c r="K102" i="1"/>
  <c r="L102" i="1" s="1"/>
  <c r="H102" i="1"/>
  <c r="E102" i="1"/>
  <c r="C102" i="1"/>
  <c r="K101" i="1"/>
  <c r="L101" i="1" s="1"/>
  <c r="H101" i="1"/>
  <c r="E101" i="1"/>
  <c r="C101" i="1"/>
  <c r="K100" i="1"/>
  <c r="L100" i="1" s="1"/>
  <c r="H100" i="1"/>
  <c r="E100" i="1"/>
  <c r="C100" i="1"/>
  <c r="K99" i="1"/>
  <c r="L99" i="1" s="1"/>
  <c r="H99" i="1"/>
  <c r="E99" i="1"/>
  <c r="C99" i="1"/>
  <c r="K98" i="1"/>
  <c r="L98" i="1" s="1"/>
  <c r="H98" i="1"/>
  <c r="E98" i="1"/>
  <c r="C98" i="1"/>
  <c r="K97" i="1"/>
  <c r="L97" i="1" s="1"/>
  <c r="H97" i="1"/>
  <c r="E97" i="1"/>
  <c r="C97" i="1"/>
  <c r="K96" i="1"/>
  <c r="L96" i="1" s="1"/>
  <c r="H96" i="1"/>
  <c r="E96" i="1"/>
  <c r="C96" i="1"/>
  <c r="K95" i="1"/>
  <c r="L95" i="1" s="1"/>
  <c r="H95" i="1"/>
  <c r="E95" i="1"/>
  <c r="C95" i="1"/>
  <c r="K94" i="1"/>
  <c r="L94" i="1" s="1"/>
  <c r="H94" i="1"/>
  <c r="E94" i="1"/>
  <c r="C94" i="1"/>
  <c r="K93" i="1"/>
  <c r="L93" i="1" s="1"/>
  <c r="H93" i="1"/>
  <c r="E93" i="1"/>
  <c r="C93" i="1"/>
  <c r="K92" i="1"/>
  <c r="L92" i="1" s="1"/>
  <c r="H92" i="1"/>
  <c r="E92" i="1"/>
  <c r="C92" i="1"/>
  <c r="K91" i="1"/>
  <c r="L91" i="1" s="1"/>
  <c r="H91" i="1"/>
  <c r="E91" i="1"/>
  <c r="C91" i="1"/>
  <c r="K90" i="1"/>
  <c r="L90" i="1" s="1"/>
  <c r="H90" i="1"/>
  <c r="E90" i="1"/>
  <c r="C90" i="1"/>
  <c r="K89" i="1"/>
  <c r="L89" i="1" s="1"/>
  <c r="H89" i="1"/>
  <c r="E89" i="1"/>
  <c r="C89" i="1"/>
  <c r="K88" i="1"/>
  <c r="L88" i="1" s="1"/>
  <c r="H88" i="1"/>
  <c r="E88" i="1"/>
  <c r="C88" i="1"/>
  <c r="K87" i="1"/>
  <c r="L87" i="1" s="1"/>
  <c r="H87" i="1"/>
  <c r="E87" i="1"/>
  <c r="C87" i="1"/>
  <c r="K86" i="1"/>
  <c r="L86" i="1" s="1"/>
  <c r="H86" i="1"/>
  <c r="E86" i="1"/>
  <c r="C86" i="1"/>
  <c r="K85" i="1"/>
  <c r="L85" i="1" s="1"/>
  <c r="H85" i="1"/>
  <c r="E85" i="1"/>
  <c r="C85" i="1"/>
  <c r="K84" i="1"/>
  <c r="L84" i="1" s="1"/>
  <c r="H84" i="1"/>
  <c r="E84" i="1"/>
  <c r="C84" i="1"/>
  <c r="K83" i="1"/>
  <c r="L83" i="1" s="1"/>
  <c r="H83" i="1"/>
  <c r="E83" i="1"/>
  <c r="C83" i="1"/>
  <c r="K82" i="1"/>
  <c r="L82" i="1" s="1"/>
  <c r="H82" i="1"/>
  <c r="E82" i="1"/>
  <c r="C82" i="1"/>
  <c r="K81" i="1"/>
  <c r="L81" i="1" s="1"/>
  <c r="H81" i="1"/>
  <c r="E81" i="1"/>
  <c r="C81" i="1"/>
  <c r="K80" i="1"/>
  <c r="L80" i="1" s="1"/>
  <c r="H80" i="1"/>
  <c r="E80" i="1"/>
  <c r="C80" i="1"/>
  <c r="K79" i="1"/>
  <c r="L79" i="1" s="1"/>
  <c r="H79" i="1"/>
  <c r="E79" i="1"/>
  <c r="C79" i="1"/>
  <c r="K78" i="1"/>
  <c r="L78" i="1" s="1"/>
  <c r="H78" i="1"/>
  <c r="E78" i="1"/>
  <c r="C78" i="1"/>
  <c r="K77" i="1"/>
  <c r="L77" i="1" s="1"/>
  <c r="H77" i="1"/>
  <c r="E77" i="1"/>
  <c r="C77" i="1"/>
  <c r="K76" i="1"/>
  <c r="L76" i="1" s="1"/>
  <c r="H76" i="1"/>
  <c r="E76" i="1"/>
  <c r="C76" i="1"/>
  <c r="K75" i="1"/>
  <c r="L75" i="1" s="1"/>
  <c r="H75" i="1"/>
  <c r="E75" i="1"/>
  <c r="C75" i="1"/>
  <c r="K74" i="1"/>
  <c r="L74" i="1" s="1"/>
  <c r="H74" i="1"/>
  <c r="E74" i="1"/>
  <c r="C74" i="1"/>
  <c r="K73" i="1"/>
  <c r="L73" i="1" s="1"/>
  <c r="H73" i="1"/>
  <c r="E73" i="1"/>
  <c r="C73" i="1"/>
  <c r="K72" i="1"/>
  <c r="L72" i="1" s="1"/>
  <c r="H72" i="1"/>
  <c r="E72" i="1"/>
  <c r="C72" i="1"/>
  <c r="K71" i="1"/>
  <c r="L71" i="1" s="1"/>
  <c r="H71" i="1"/>
  <c r="E71" i="1"/>
  <c r="C71" i="1"/>
  <c r="K70" i="1"/>
  <c r="L70" i="1" s="1"/>
  <c r="H70" i="1"/>
  <c r="E70" i="1"/>
  <c r="C70" i="1"/>
  <c r="K69" i="1"/>
  <c r="L69" i="1" s="1"/>
  <c r="H69" i="1"/>
  <c r="E69" i="1"/>
  <c r="C69" i="1"/>
  <c r="K68" i="1"/>
  <c r="L68" i="1" s="1"/>
  <c r="H68" i="1"/>
  <c r="E68" i="1"/>
  <c r="C68" i="1"/>
  <c r="K67" i="1"/>
  <c r="L67" i="1" s="1"/>
  <c r="H67" i="1"/>
  <c r="E67" i="1"/>
  <c r="C67" i="1"/>
  <c r="K66" i="1"/>
  <c r="L66" i="1" s="1"/>
  <c r="H66" i="1"/>
  <c r="E66" i="1"/>
  <c r="C66" i="1"/>
  <c r="K65" i="1"/>
  <c r="L65" i="1" s="1"/>
  <c r="H65" i="1"/>
  <c r="E65" i="1"/>
  <c r="C65" i="1"/>
  <c r="K64" i="1"/>
  <c r="L64" i="1" s="1"/>
  <c r="H64" i="1"/>
  <c r="E64" i="1"/>
  <c r="C64" i="1"/>
  <c r="K63" i="1"/>
  <c r="L63" i="1" s="1"/>
  <c r="H63" i="1"/>
  <c r="E63" i="1"/>
  <c r="C63" i="1"/>
  <c r="K62" i="1"/>
  <c r="L62" i="1" s="1"/>
  <c r="H62" i="1"/>
  <c r="E62" i="1"/>
  <c r="C62" i="1"/>
  <c r="K61" i="1"/>
  <c r="L61" i="1" s="1"/>
  <c r="H61" i="1"/>
  <c r="E61" i="1"/>
  <c r="C61" i="1"/>
  <c r="K60" i="1"/>
  <c r="L60" i="1" s="1"/>
  <c r="H60" i="1"/>
  <c r="E60" i="1"/>
  <c r="C60" i="1"/>
  <c r="K59" i="1"/>
  <c r="L59" i="1" s="1"/>
  <c r="H59" i="1"/>
  <c r="E59" i="1"/>
  <c r="C59" i="1"/>
  <c r="K58" i="1"/>
  <c r="L58" i="1" s="1"/>
  <c r="H58" i="1"/>
  <c r="E58" i="1"/>
  <c r="C58" i="1"/>
  <c r="K57" i="1"/>
  <c r="L57" i="1" s="1"/>
  <c r="H57" i="1"/>
  <c r="E57" i="1"/>
  <c r="C57" i="1"/>
  <c r="K56" i="1"/>
  <c r="L56" i="1" s="1"/>
  <c r="H56" i="1"/>
  <c r="E56" i="1"/>
  <c r="C56" i="1"/>
  <c r="K55" i="1"/>
  <c r="L55" i="1" s="1"/>
  <c r="H55" i="1"/>
  <c r="E55" i="1"/>
  <c r="C55" i="1"/>
  <c r="K54" i="1"/>
  <c r="L54" i="1" s="1"/>
  <c r="H54" i="1"/>
  <c r="E54" i="1"/>
  <c r="C54" i="1"/>
  <c r="K53" i="1"/>
  <c r="L53" i="1" s="1"/>
  <c r="H53" i="1"/>
  <c r="E53" i="1"/>
  <c r="C53" i="1"/>
  <c r="K52" i="1"/>
  <c r="L52" i="1" s="1"/>
  <c r="H52" i="1"/>
  <c r="E52" i="1"/>
  <c r="C52" i="1"/>
  <c r="K51" i="1"/>
  <c r="L51" i="1" s="1"/>
  <c r="H51" i="1"/>
  <c r="E51" i="1"/>
  <c r="C51" i="1"/>
  <c r="K50" i="1"/>
  <c r="L50" i="1" s="1"/>
  <c r="H50" i="1"/>
  <c r="E50" i="1"/>
  <c r="C50" i="1"/>
  <c r="K49" i="1"/>
  <c r="L49" i="1" s="1"/>
  <c r="H49" i="1"/>
  <c r="E49" i="1"/>
  <c r="C49" i="1"/>
  <c r="K48" i="1"/>
  <c r="L48" i="1" s="1"/>
  <c r="H48" i="1"/>
  <c r="E48" i="1"/>
  <c r="C48" i="1"/>
  <c r="K47" i="1"/>
  <c r="L47" i="1" s="1"/>
  <c r="H47" i="1"/>
  <c r="E47" i="1"/>
  <c r="C47" i="1"/>
  <c r="K46" i="1"/>
  <c r="L46" i="1" s="1"/>
  <c r="H46" i="1"/>
  <c r="E46" i="1"/>
  <c r="C46" i="1"/>
  <c r="K45" i="1"/>
  <c r="L45" i="1" s="1"/>
  <c r="H45" i="1"/>
  <c r="E45" i="1"/>
  <c r="C45" i="1"/>
  <c r="K44" i="1"/>
  <c r="L44" i="1" s="1"/>
  <c r="H44" i="1"/>
  <c r="E44" i="1"/>
  <c r="C44" i="1"/>
  <c r="K43" i="1"/>
  <c r="L43" i="1" s="1"/>
  <c r="H43" i="1"/>
  <c r="E43" i="1"/>
  <c r="C43" i="1"/>
  <c r="K42" i="1"/>
  <c r="L42" i="1" s="1"/>
  <c r="H42" i="1"/>
  <c r="E42" i="1"/>
  <c r="C42" i="1"/>
  <c r="K41" i="1"/>
  <c r="L41" i="1" s="1"/>
  <c r="H41" i="1"/>
  <c r="E41" i="1"/>
  <c r="C41" i="1"/>
  <c r="K40" i="1"/>
  <c r="L40" i="1" s="1"/>
  <c r="H40" i="1"/>
  <c r="E40" i="1"/>
  <c r="C40" i="1"/>
  <c r="K39" i="1"/>
  <c r="L39" i="1" s="1"/>
  <c r="H39" i="1"/>
  <c r="E39" i="1"/>
  <c r="C39" i="1"/>
  <c r="K38" i="1"/>
  <c r="L38" i="1" s="1"/>
  <c r="H38" i="1"/>
  <c r="E38" i="1"/>
  <c r="C38" i="1"/>
  <c r="K37" i="1"/>
  <c r="L37" i="1" s="1"/>
  <c r="H37" i="1"/>
  <c r="E37" i="1"/>
  <c r="C37" i="1"/>
  <c r="K36" i="1"/>
  <c r="L36" i="1" s="1"/>
  <c r="H36" i="1"/>
  <c r="E36" i="1"/>
  <c r="C36" i="1"/>
  <c r="K35" i="1"/>
  <c r="L35" i="1" s="1"/>
  <c r="H35" i="1"/>
  <c r="E35" i="1"/>
  <c r="C35" i="1"/>
  <c r="K34" i="1"/>
  <c r="L34" i="1" s="1"/>
  <c r="H34" i="1"/>
  <c r="E34" i="1"/>
  <c r="C34" i="1"/>
  <c r="K33" i="1"/>
  <c r="L33" i="1" s="1"/>
  <c r="H33" i="1"/>
  <c r="E33" i="1"/>
  <c r="C33" i="1"/>
  <c r="K32" i="1"/>
  <c r="L32" i="1" s="1"/>
  <c r="H32" i="1"/>
  <c r="E32" i="1"/>
  <c r="C32" i="1"/>
  <c r="K31" i="1"/>
  <c r="L31" i="1" s="1"/>
  <c r="H31" i="1"/>
  <c r="E31" i="1"/>
  <c r="C31" i="1"/>
  <c r="K30" i="1"/>
  <c r="L30" i="1" s="1"/>
  <c r="H30" i="1"/>
  <c r="E30" i="1"/>
  <c r="C30" i="1"/>
  <c r="K29" i="1"/>
  <c r="L29" i="1" s="1"/>
  <c r="H29" i="1"/>
  <c r="E29" i="1"/>
  <c r="C29" i="1"/>
  <c r="K28" i="1"/>
  <c r="L28" i="1" s="1"/>
  <c r="H28" i="1"/>
  <c r="E28" i="1"/>
  <c r="C28" i="1"/>
  <c r="K27" i="1"/>
  <c r="L27" i="1" s="1"/>
  <c r="H27" i="1"/>
  <c r="E27" i="1"/>
  <c r="C27" i="1"/>
  <c r="K26" i="1"/>
  <c r="L26" i="1" s="1"/>
  <c r="H26" i="1"/>
  <c r="E26" i="1"/>
  <c r="C26" i="1"/>
  <c r="K25" i="1"/>
  <c r="L25" i="1" s="1"/>
  <c r="H25" i="1"/>
  <c r="E25" i="1"/>
  <c r="C25" i="1"/>
  <c r="K24" i="1"/>
  <c r="L24" i="1" s="1"/>
  <c r="H24" i="1"/>
  <c r="E24" i="1"/>
  <c r="C24" i="1"/>
  <c r="K23" i="1"/>
  <c r="L23" i="1" s="1"/>
  <c r="H23" i="1"/>
  <c r="E23" i="1"/>
  <c r="C23" i="1"/>
  <c r="K22" i="1"/>
  <c r="L22" i="1" s="1"/>
  <c r="H22" i="1"/>
  <c r="E22" i="1"/>
  <c r="C22" i="1"/>
  <c r="K21" i="1"/>
  <c r="L21" i="1" s="1"/>
  <c r="H21" i="1"/>
  <c r="E21" i="1"/>
  <c r="C21" i="1"/>
  <c r="K20" i="1"/>
  <c r="L20" i="1" s="1"/>
  <c r="H20" i="1"/>
  <c r="E20" i="1"/>
  <c r="C20" i="1"/>
  <c r="K19" i="1"/>
  <c r="L19" i="1" s="1"/>
  <c r="H19" i="1"/>
  <c r="E19" i="1"/>
  <c r="C19" i="1"/>
  <c r="L18" i="1"/>
  <c r="H18" i="1"/>
  <c r="E18" i="1"/>
  <c r="C18" i="1"/>
  <c r="K17" i="1"/>
  <c r="L17" i="1" s="1"/>
  <c r="H17" i="1"/>
  <c r="E17" i="1"/>
  <c r="C17" i="1"/>
  <c r="K16" i="1"/>
  <c r="L16" i="1" s="1"/>
  <c r="H16" i="1"/>
  <c r="E16" i="1"/>
  <c r="C16" i="1"/>
  <c r="K15" i="1"/>
  <c r="L15" i="1" s="1"/>
  <c r="H15" i="1"/>
  <c r="E15" i="1"/>
  <c r="C15" i="1"/>
  <c r="K14" i="1"/>
  <c r="L14" i="1" s="1"/>
  <c r="H14" i="1"/>
  <c r="E14" i="1"/>
  <c r="C14" i="1"/>
  <c r="K13" i="1"/>
  <c r="L13" i="1" s="1"/>
  <c r="H13" i="1"/>
  <c r="E13" i="1"/>
  <c r="C13" i="1"/>
  <c r="K12" i="1"/>
  <c r="L12" i="1" s="1"/>
  <c r="H12" i="1"/>
  <c r="E12" i="1"/>
  <c r="C12" i="1"/>
  <c r="K11" i="1"/>
  <c r="L11" i="1" s="1"/>
  <c r="H11" i="1"/>
  <c r="E11" i="1"/>
  <c r="C11" i="1"/>
  <c r="K10" i="1"/>
  <c r="L10" i="1" s="1"/>
  <c r="H10" i="1"/>
  <c r="E10" i="1"/>
  <c r="C10" i="1"/>
  <c r="K9" i="1"/>
  <c r="L9" i="1" s="1"/>
  <c r="H9" i="1"/>
  <c r="E9" i="1"/>
  <c r="C9" i="1"/>
  <c r="K8" i="1"/>
  <c r="L8" i="1" s="1"/>
  <c r="H8" i="1"/>
  <c r="E8" i="1"/>
  <c r="C8" i="1"/>
  <c r="K7" i="1"/>
  <c r="L7" i="1" s="1"/>
  <c r="H7" i="1"/>
  <c r="E7" i="1"/>
  <c r="C7" i="1"/>
  <c r="K6" i="1"/>
  <c r="L6" i="1" s="1"/>
  <c r="H6" i="1"/>
  <c r="E6" i="1"/>
  <c r="C6" i="1"/>
  <c r="K5" i="1"/>
  <c r="L5" i="1" s="1"/>
  <c r="H5" i="1"/>
  <c r="E5" i="1"/>
  <c r="C5" i="1"/>
  <c r="K4" i="1"/>
  <c r="L4" i="1" s="1"/>
  <c r="H4" i="1"/>
  <c r="E4" i="1"/>
  <c r="C4" i="1"/>
  <c r="K3" i="1"/>
  <c r="L3" i="1" s="1"/>
  <c r="H3" i="1"/>
  <c r="E3" i="1"/>
  <c r="K2" i="1"/>
  <c r="L2" i="1" s="1"/>
  <c r="H2" i="1"/>
  <c r="E2" i="1"/>
  <c r="C2" i="1"/>
</calcChain>
</file>

<file path=xl/sharedStrings.xml><?xml version="1.0" encoding="utf-8"?>
<sst xmlns="http://schemas.openxmlformats.org/spreadsheetml/2006/main" count="832" uniqueCount="589">
  <si>
    <t>ユーザー名</t>
    <rPh sb="4" eb="5">
      <t>メイ</t>
    </rPh>
    <phoneticPr fontId="1"/>
  </si>
  <si>
    <t>参加年月</t>
    <rPh sb="0" eb="2">
      <t>サンカ</t>
    </rPh>
    <rPh sb="2" eb="4">
      <t>ネンゲツ</t>
    </rPh>
    <phoneticPr fontId="1"/>
  </si>
  <si>
    <t>参加年月日</t>
    <rPh sb="0" eb="2">
      <t>サンカ</t>
    </rPh>
    <rPh sb="2" eb="5">
      <t>ネンガッピ</t>
    </rPh>
    <phoneticPr fontId="1"/>
  </si>
  <si>
    <t>参加からの経過年月</t>
    <rPh sb="0" eb="2">
      <t>サンカ</t>
    </rPh>
    <rPh sb="5" eb="7">
      <t>ケイカ</t>
    </rPh>
    <rPh sb="7" eb="9">
      <t>ネンゲツ</t>
    </rPh>
    <phoneticPr fontId="1"/>
  </si>
  <si>
    <t>ディスプレイネーム</t>
    <phoneticPr fontId="1"/>
  </si>
  <si>
    <t>ID</t>
    <phoneticPr fontId="1"/>
  </si>
  <si>
    <t>Mayssh_01</t>
    <phoneticPr fontId="1"/>
  </si>
  <si>
    <t>mayssh_01</t>
    <phoneticPr fontId="1"/>
  </si>
  <si>
    <t>備考</t>
    <rPh sb="0" eb="2">
      <t>ビコウ</t>
    </rPh>
    <phoneticPr fontId="1"/>
  </si>
  <si>
    <t>しとりん</t>
    <phoneticPr fontId="1"/>
  </si>
  <si>
    <t>-Jupiterfx</t>
    <phoneticPr fontId="1"/>
  </si>
  <si>
    <t>鍵付きアカウント</t>
    <rPh sb="0" eb="2">
      <t>カギツ</t>
    </rPh>
    <phoneticPr fontId="1"/>
  </si>
  <si>
    <t>参加からの経過年月日数</t>
    <rPh sb="0" eb="2">
      <t>サンカ</t>
    </rPh>
    <rPh sb="5" eb="7">
      <t>ケイカ</t>
    </rPh>
    <rPh sb="7" eb="10">
      <t>ネンガッピ</t>
    </rPh>
    <rPh sb="10" eb="11">
      <t>スウ</t>
    </rPh>
    <phoneticPr fontId="1"/>
  </si>
  <si>
    <t>atomic_osushi</t>
    <phoneticPr fontId="1"/>
  </si>
  <si>
    <t>zororiku</t>
    <phoneticPr fontId="1"/>
  </si>
  <si>
    <t>©ぞろりく</t>
    <phoneticPr fontId="1"/>
  </si>
  <si>
    <t>zororiku_</t>
    <phoneticPr fontId="1"/>
  </si>
  <si>
    <t>-Snowy-FX-</t>
    <phoneticPr fontId="1"/>
  </si>
  <si>
    <t>SnowFX</t>
    <phoneticPr fontId="1"/>
  </si>
  <si>
    <t>YoukunFX</t>
    <phoneticPr fontId="1"/>
  </si>
  <si>
    <t>-vallat-</t>
    <phoneticPr fontId="1"/>
  </si>
  <si>
    <t>ばらと</t>
    <phoneticPr fontId="1"/>
  </si>
  <si>
    <t>vallat__</t>
    <phoneticPr fontId="1"/>
  </si>
  <si>
    <t>ringo2go</t>
    <phoneticPr fontId="1"/>
  </si>
  <si>
    <t>umeringo_2go</t>
    <phoneticPr fontId="1"/>
  </si>
  <si>
    <t>Xx_Choral_A_xX</t>
    <phoneticPr fontId="1"/>
  </si>
  <si>
    <t>Chor</t>
    <phoneticPr fontId="1"/>
  </si>
  <si>
    <t>tyoral_</t>
    <phoneticPr fontId="1"/>
  </si>
  <si>
    <t>-TouTa-</t>
    <phoneticPr fontId="1"/>
  </si>
  <si>
    <t>トウタ(陶汰)</t>
    <phoneticPr fontId="1"/>
  </si>
  <si>
    <t>TouTa12341234</t>
    <phoneticPr fontId="1"/>
  </si>
  <si>
    <t>mayo-cocon</t>
    <phoneticPr fontId="1"/>
  </si>
  <si>
    <t>とまとマヨ</t>
    <phoneticPr fontId="1"/>
  </si>
  <si>
    <t>tomatomayo_10</t>
    <phoneticPr fontId="1"/>
  </si>
  <si>
    <t>doublescherry</t>
    <phoneticPr fontId="1"/>
  </si>
  <si>
    <t>ちぇりー / しょぼん</t>
    <phoneticPr fontId="1"/>
  </si>
  <si>
    <t>Syobon0w0</t>
    <phoneticPr fontId="1"/>
  </si>
  <si>
    <t>_yakomo-official_</t>
    <phoneticPr fontId="1"/>
  </si>
  <si>
    <t>鈴代やこも</t>
    <phoneticPr fontId="1"/>
  </si>
  <si>
    <t>suzusiroyakomo</t>
    <phoneticPr fontId="1"/>
  </si>
  <si>
    <t>laggylaggy</t>
    <phoneticPr fontId="1"/>
  </si>
  <si>
    <t>_o0Seina0o_</t>
    <phoneticPr fontId="1"/>
  </si>
  <si>
    <t>寒雨💫🌙</t>
    <phoneticPr fontId="1"/>
  </si>
  <si>
    <t>Selene_Cosmo0</t>
    <phoneticPr fontId="1"/>
  </si>
  <si>
    <t>ham_mog</t>
    <phoneticPr fontId="1"/>
  </si>
  <si>
    <t>はむもぐ</t>
    <phoneticPr fontId="1"/>
  </si>
  <si>
    <t>Robusuke</t>
    <phoneticPr fontId="1"/>
  </si>
  <si>
    <t>ロブ助🦐</t>
    <phoneticPr fontId="1"/>
  </si>
  <si>
    <t>Robusuke_Shrimp</t>
    <phoneticPr fontId="1"/>
  </si>
  <si>
    <t>Poteto143</t>
    <phoneticPr fontId="1"/>
  </si>
  <si>
    <t>Poteto143🍟</t>
    <phoneticPr fontId="1"/>
  </si>
  <si>
    <t>pino_name</t>
    <phoneticPr fontId="1"/>
  </si>
  <si>
    <t>ぴの</t>
    <phoneticPr fontId="1"/>
  </si>
  <si>
    <t>Pino_scr</t>
    <phoneticPr fontId="1"/>
  </si>
  <si>
    <t>Srain3</t>
    <phoneticPr fontId="1"/>
  </si>
  <si>
    <t>Paint8Q</t>
    <phoneticPr fontId="1"/>
  </si>
  <si>
    <t>omowaka</t>
    <phoneticPr fontId="1"/>
  </si>
  <si>
    <t>おも Scratch</t>
    <phoneticPr fontId="1"/>
  </si>
  <si>
    <t>omokai</t>
    <phoneticPr fontId="1"/>
  </si>
  <si>
    <t>omokai_scratch</t>
    <phoneticPr fontId="1"/>
  </si>
  <si>
    <t>honey-milk1</t>
    <phoneticPr fontId="1"/>
  </si>
  <si>
    <t>ネコでもわかるプログラミング</t>
    <phoneticPr fontId="1"/>
  </si>
  <si>
    <t>nekopro20</t>
    <phoneticPr fontId="1"/>
  </si>
  <si>
    <t>mugidango</t>
    <phoneticPr fontId="1"/>
  </si>
  <si>
    <t>むぎだんご</t>
    <phoneticPr fontId="1"/>
  </si>
  <si>
    <t>mugidango___</t>
    <phoneticPr fontId="1"/>
  </si>
  <si>
    <t>Soragami_Official</t>
    <phoneticPr fontId="1"/>
  </si>
  <si>
    <t>宙噛</t>
    <phoneticPr fontId="1"/>
  </si>
  <si>
    <t>moeruwara</t>
    <phoneticPr fontId="1"/>
  </si>
  <si>
    <t>まいっしゅ</t>
    <phoneticPr fontId="1"/>
  </si>
  <si>
    <t>victoria_0913</t>
    <phoneticPr fontId="1"/>
  </si>
  <si>
    <t>ゔぃくとりあ</t>
    <phoneticPr fontId="1"/>
  </si>
  <si>
    <t>matane_0913</t>
    <phoneticPr fontId="1"/>
  </si>
  <si>
    <t>mangagroup_Scra</t>
    <phoneticPr fontId="1"/>
  </si>
  <si>
    <t>logic_lab</t>
    <phoneticPr fontId="1"/>
  </si>
  <si>
    <t>logiclab</t>
    <phoneticPr fontId="1"/>
  </si>
  <si>
    <t>-LightArtz-</t>
    <phoneticPr fontId="1"/>
  </si>
  <si>
    <t>くまのみっす</t>
    <phoneticPr fontId="1"/>
  </si>
  <si>
    <t>Kumanomikun_</t>
    <phoneticPr fontId="1"/>
  </si>
  <si>
    <t>ketiketi87</t>
    <phoneticPr fontId="1"/>
  </si>
  <si>
    <t>けちけち</t>
    <phoneticPr fontId="1"/>
  </si>
  <si>
    <t>kasasa1262716</t>
    <phoneticPr fontId="1"/>
  </si>
  <si>
    <t>youmounotanbo</t>
    <phoneticPr fontId="1"/>
  </si>
  <si>
    <t>(ようもうのたんぼ)</t>
    <phoneticPr fontId="1"/>
  </si>
  <si>
    <t>Karupiyonn</t>
    <phoneticPr fontId="1"/>
  </si>
  <si>
    <t>karikaripilz</t>
    <phoneticPr fontId="1"/>
  </si>
  <si>
    <t>karicalikinoko</t>
    <phoneticPr fontId="1"/>
  </si>
  <si>
    <t>kaneshiro_aoto</t>
    <phoneticPr fontId="1"/>
  </si>
  <si>
    <t>hisiragi</t>
    <phoneticPr fontId="1"/>
  </si>
  <si>
    <t>hisiragi/ひしらぎ</t>
    <phoneticPr fontId="1"/>
  </si>
  <si>
    <t>hisiragi_jp</t>
    <phoneticPr fontId="1"/>
  </si>
  <si>
    <t>Tamao48</t>
    <phoneticPr fontId="1"/>
  </si>
  <si>
    <t>暇人たまお</t>
    <phoneticPr fontId="1"/>
  </si>
  <si>
    <t>himanatamao</t>
    <phoneticPr fontId="1"/>
  </si>
  <si>
    <t>SpringFX</t>
    <phoneticPr fontId="1"/>
  </si>
  <si>
    <t>HCMS_Spring</t>
    <phoneticPr fontId="1"/>
  </si>
  <si>
    <t>l_____Scratch_____l</t>
    <phoneticPr fontId="1"/>
  </si>
  <si>
    <t>𓆤hati32</t>
    <phoneticPr fontId="1"/>
  </si>
  <si>
    <t>hati325</t>
    <phoneticPr fontId="1"/>
  </si>
  <si>
    <t>haru-ymth</t>
    <phoneticPr fontId="1"/>
  </si>
  <si>
    <t>haru_ymth</t>
    <phoneticPr fontId="1"/>
  </si>
  <si>
    <t>harukun19</t>
    <phoneticPr fontId="1"/>
  </si>
  <si>
    <t>はるくん / harukun19</t>
    <phoneticPr fontId="1"/>
  </si>
  <si>
    <t>halkun19</t>
    <phoneticPr fontId="1"/>
  </si>
  <si>
    <t>Xx-_magic_-xX</t>
    <phoneticPr fontId="1"/>
  </si>
  <si>
    <t>GiaMC_movie</t>
    <phoneticPr fontId="1"/>
  </si>
  <si>
    <t>xX_Freezer_Xx</t>
    <phoneticPr fontId="1"/>
  </si>
  <si>
    <t>frezledz</t>
    <phoneticPr fontId="1"/>
  </si>
  <si>
    <t>Saikuron_Iida</t>
    <phoneticPr fontId="1"/>
  </si>
  <si>
    <t>サイクロン飯田</t>
    <phoneticPr fontId="1"/>
  </si>
  <si>
    <t>Cyclone080808</t>
    <phoneticPr fontId="1"/>
  </si>
  <si>
    <t>CitrinN</t>
    <phoneticPr fontId="1"/>
  </si>
  <si>
    <t>-AviFX-</t>
    <phoneticPr fontId="1"/>
  </si>
  <si>
    <t>あゔぃ</t>
    <phoneticPr fontId="1"/>
  </si>
  <si>
    <t>avi0111_</t>
    <phoneticPr fontId="1"/>
  </si>
  <si>
    <t>Atridott</t>
    <phoneticPr fontId="1"/>
  </si>
  <si>
    <t>atri_nen</t>
    <phoneticPr fontId="1"/>
  </si>
  <si>
    <t>atomic-osushi</t>
    <phoneticPr fontId="1"/>
  </si>
  <si>
    <t>しじみパン</t>
    <phoneticPr fontId="1"/>
  </si>
  <si>
    <t>Ashibara_Art</t>
    <phoneticPr fontId="1"/>
  </si>
  <si>
    <t>Ashibara_</t>
    <phoneticPr fontId="1"/>
  </si>
  <si>
    <t>banana_sansan</t>
    <phoneticPr fontId="1"/>
  </si>
  <si>
    <t>Scratch初心者</t>
    <phoneticPr fontId="1"/>
  </si>
  <si>
    <t>appleca71514618</t>
    <phoneticPr fontId="1"/>
  </si>
  <si>
    <t>-Cavlle-</t>
    <phoneticPr fontId="1"/>
  </si>
  <si>
    <t>かぶれ</t>
    <phoneticPr fontId="1"/>
  </si>
  <si>
    <t>abee</t>
    <phoneticPr fontId="1"/>
  </si>
  <si>
    <t>アベ先生 (CV: 阿部和広)</t>
    <phoneticPr fontId="1"/>
  </si>
  <si>
    <t>abee2</t>
    <phoneticPr fontId="1"/>
  </si>
  <si>
    <t>GHKk_99</t>
    <phoneticPr fontId="1"/>
  </si>
  <si>
    <t>ぢっく11D </t>
    <phoneticPr fontId="1"/>
  </si>
  <si>
    <t>99_GHKk</t>
    <phoneticPr fontId="1"/>
  </si>
  <si>
    <t>-Xx_Oo_oO_xX-</t>
    <phoneticPr fontId="1"/>
  </si>
  <si>
    <t>おおおお</t>
    <phoneticPr fontId="1"/>
  </si>
  <si>
    <t>_Xx_0o_o0_xX_</t>
    <phoneticPr fontId="1"/>
  </si>
  <si>
    <t>tensaichicken</t>
    <phoneticPr fontId="1"/>
  </si>
  <si>
    <t>_tensaichicken_</t>
    <phoneticPr fontId="1"/>
  </si>
  <si>
    <t>rara__official</t>
    <phoneticPr fontId="1"/>
  </si>
  <si>
    <t>_ra_mennya_</t>
    <phoneticPr fontId="1"/>
  </si>
  <si>
    <t>Crystal-25</t>
    <phoneticPr fontId="1"/>
  </si>
  <si>
    <t>栗</t>
    <phoneticPr fontId="1"/>
  </si>
  <si>
    <t>_crys25</t>
    <phoneticPr fontId="1"/>
  </si>
  <si>
    <t>URL</t>
    <phoneticPr fontId="1"/>
  </si>
  <si>
    <t>Yellow_Apple</t>
    <phoneticPr fontId="1"/>
  </si>
  <si>
    <t>Dotoe</t>
    <phoneticPr fontId="1"/>
  </si>
  <si>
    <t>letb_tw</t>
    <phoneticPr fontId="1"/>
  </si>
  <si>
    <t>꒰ঌティア</t>
    <phoneticPr fontId="1"/>
  </si>
  <si>
    <t>_mumei_jp_1</t>
    <phoneticPr fontId="1"/>
  </si>
  <si>
    <t>無鳴🍈🧐😉🙅🏿‍♀️🌙🐧🐶🐵</t>
    <phoneticPr fontId="1"/>
  </si>
  <si>
    <t>_Pon12345_</t>
    <phoneticPr fontId="1"/>
  </si>
  <si>
    <t>ぽん @Scratcherだった人</t>
    <phoneticPr fontId="1"/>
  </si>
  <si>
    <t>114423_it</t>
    <phoneticPr fontId="1"/>
  </si>
  <si>
    <t>いち！！</t>
    <phoneticPr fontId="1"/>
  </si>
  <si>
    <t>Anemone_eizo</t>
    <phoneticPr fontId="1"/>
  </si>
  <si>
    <t>Anemone</t>
    <phoneticPr fontId="1"/>
  </si>
  <si>
    <t>artz_night</t>
    <phoneticPr fontId="1"/>
  </si>
  <si>
    <t>Night</t>
    <phoneticPr fontId="1"/>
  </si>
  <si>
    <t>asuka_scratch</t>
    <phoneticPr fontId="1"/>
  </si>
  <si>
    <t>あすか</t>
    <phoneticPr fontId="1"/>
  </si>
  <si>
    <t>AtyapiFX</t>
    <phoneticPr fontId="1"/>
  </si>
  <si>
    <t>あちゃぴ / AtyapiArtz</t>
    <phoneticPr fontId="1"/>
  </si>
  <si>
    <t>banteku176510</t>
    <phoneticPr fontId="1"/>
  </si>
  <si>
    <t>BlueYtr35</t>
    <phoneticPr fontId="1"/>
  </si>
  <si>
    <t>BlueYTR35/7</t>
    <phoneticPr fontId="1"/>
  </si>
  <si>
    <t>Diamond_Scratch</t>
    <phoneticPr fontId="1"/>
  </si>
  <si>
    <t>♢だいすく♢</t>
    <phoneticPr fontId="1"/>
  </si>
  <si>
    <t>donakou_scrt</t>
    <phoneticPr fontId="1"/>
  </si>
  <si>
    <t>donakou</t>
    <phoneticPr fontId="1"/>
  </si>
  <si>
    <t>Doramori334</t>
    <phoneticPr fontId="1"/>
  </si>
  <si>
    <t>ドラモリ</t>
    <phoneticPr fontId="1"/>
  </si>
  <si>
    <t>dorasan0725</t>
    <phoneticPr fontId="1"/>
  </si>
  <si>
    <t>ドラさん</t>
    <phoneticPr fontId="1"/>
  </si>
  <si>
    <t>Dotoe_chan</t>
    <phoneticPr fontId="1"/>
  </si>
  <si>
    <t>e_hime__</t>
    <phoneticPr fontId="1"/>
  </si>
  <si>
    <t>えひめのみかん</t>
    <phoneticPr fontId="1"/>
  </si>
  <si>
    <t>edamame_pikmi</t>
    <phoneticPr fontId="1"/>
  </si>
  <si>
    <t>eelrice140</t>
    <phoneticPr fontId="1"/>
  </si>
  <si>
    <t>うな重大盛り</t>
    <phoneticPr fontId="1"/>
  </si>
  <si>
    <t>Free_Banner_scr</t>
    <phoneticPr fontId="1"/>
  </si>
  <si>
    <t>GOTTbatotai54</t>
    <phoneticPr fontId="1"/>
  </si>
  <si>
    <t>ゴットばとたい</t>
    <phoneticPr fontId="1"/>
  </si>
  <si>
    <t>Gurachan0</t>
    <phoneticPr fontId="1"/>
  </si>
  <si>
    <t>ちゃ</t>
    <phoneticPr fontId="1"/>
  </si>
  <si>
    <t>HCWHkU8w9dvhirQ</t>
    <phoneticPr fontId="1"/>
  </si>
  <si>
    <t>昼寝マン</t>
    <phoneticPr fontId="1"/>
  </si>
  <si>
    <t>HeroSoramame02</t>
    <phoneticPr fontId="1"/>
  </si>
  <si>
    <t>そらまめ(高身長)</t>
    <phoneticPr fontId="1"/>
  </si>
  <si>
    <t>HimikoPC</t>
    <phoneticPr fontId="1"/>
  </si>
  <si>
    <t>卑弥呼系ラーメン@競プロ初心者</t>
    <phoneticPr fontId="1"/>
  </si>
  <si>
    <t>huruit_mikeneko</t>
    <phoneticPr fontId="1"/>
  </si>
  <si>
    <t>huru-tu</t>
    <phoneticPr fontId="1"/>
  </si>
  <si>
    <t>Jikky1618</t>
    <phoneticPr fontId="1"/>
  </si>
  <si>
    <t>じきお。</t>
    <phoneticPr fontId="1"/>
  </si>
  <si>
    <t>JPn_zyobu</t>
    <phoneticPr fontId="1"/>
  </si>
  <si>
    <t>じょぶ</t>
    <phoneticPr fontId="1"/>
  </si>
  <si>
    <t>Kainoko_126</t>
    <phoneticPr fontId="1"/>
  </si>
  <si>
    <t>魚卵郎</t>
    <phoneticPr fontId="1"/>
  </si>
  <si>
    <t>katsuo_scratch_</t>
    <phoneticPr fontId="1"/>
  </si>
  <si>
    <t>かつお</t>
    <phoneticPr fontId="1"/>
  </si>
  <si>
    <t>Keikeimania</t>
    <phoneticPr fontId="1"/>
  </si>
  <si>
    <t>わす 前垢フォロワーの人フォロバして</t>
    <phoneticPr fontId="1"/>
  </si>
  <si>
    <t>keltainen_omena</t>
    <phoneticPr fontId="1"/>
  </si>
  <si>
    <t>KoTHa_art</t>
    <phoneticPr fontId="1"/>
  </si>
  <si>
    <t>こTは</t>
    <phoneticPr fontId="1"/>
  </si>
  <si>
    <t>kpbr_onsen</t>
    <phoneticPr fontId="1"/>
  </si>
  <si>
    <t>お花湯♨️</t>
    <phoneticPr fontId="1"/>
  </si>
  <si>
    <t>れたすばーがー 🥬🍔</t>
    <phoneticPr fontId="1"/>
  </si>
  <si>
    <t>m_B_____R</t>
    <phoneticPr fontId="1"/>
  </si>
  <si>
    <t>しる</t>
    <phoneticPr fontId="1"/>
  </si>
  <si>
    <t>maluyuu_RCJ</t>
    <phoneticPr fontId="1"/>
  </si>
  <si>
    <t>manupuri_YOUKYA</t>
    <phoneticPr fontId="1"/>
  </si>
  <si>
    <t>まぬぷり</t>
    <phoneticPr fontId="1"/>
  </si>
  <si>
    <t>MatchaGemes_</t>
    <phoneticPr fontId="1"/>
  </si>
  <si>
    <t>まっちゃさんの隠れ家🍵</t>
    <phoneticPr fontId="1"/>
  </si>
  <si>
    <t>mercuryfx_</t>
    <phoneticPr fontId="1"/>
  </si>
  <si>
    <t>Mercury</t>
    <phoneticPr fontId="1"/>
  </si>
  <si>
    <t>mero_curry0213</t>
    <phoneticPr fontId="1"/>
  </si>
  <si>
    <t>meronDZN</t>
    <phoneticPr fontId="1"/>
  </si>
  <si>
    <t>めろん</t>
    <phoneticPr fontId="1"/>
  </si>
  <si>
    <t>meyama0901</t>
    <phoneticPr fontId="1"/>
  </si>
  <si>
    <t>midegathor</t>
    <phoneticPr fontId="1"/>
  </si>
  <si>
    <t>Midelplex</t>
    <phoneticPr fontId="1"/>
  </si>
  <si>
    <t>MidPreis</t>
    <phoneticPr fontId="1"/>
  </si>
  <si>
    <t>みっどぐりーん🥳</t>
    <phoneticPr fontId="1"/>
  </si>
  <si>
    <t>nakakoutv</t>
    <phoneticPr fontId="1"/>
  </si>
  <si>
    <t>nanakusa033</t>
    <phoneticPr fontId="1"/>
  </si>
  <si>
    <t>ななくさ</t>
    <phoneticPr fontId="1"/>
  </si>
  <si>
    <t>NHHKkoppe</t>
    <phoneticPr fontId="1"/>
  </si>
  <si>
    <t>こっぺぱん</t>
    <phoneticPr fontId="1"/>
  </si>
  <si>
    <t>NieL829</t>
    <phoneticPr fontId="1"/>
  </si>
  <si>
    <t>NieL82</t>
    <phoneticPr fontId="1"/>
  </si>
  <si>
    <t>nimda</t>
    <phoneticPr fontId="1"/>
  </si>
  <si>
    <t>pandakun / Koichiめ</t>
    <phoneticPr fontId="1"/>
  </si>
  <si>
    <t>nyaatori</t>
    <phoneticPr fontId="1"/>
  </si>
  <si>
    <t>ニャー鳥</t>
    <phoneticPr fontId="1"/>
  </si>
  <si>
    <t>oldcoinmania</t>
    <phoneticPr fontId="1"/>
  </si>
  <si>
    <t>oohara1910</t>
    <phoneticPr fontId="1"/>
  </si>
  <si>
    <t>ORIHI_SC</t>
    <phoneticPr fontId="1"/>
  </si>
  <si>
    <t>pirates730</t>
    <phoneticPr fontId="1"/>
  </si>
  <si>
    <t>-PiratesArts-</t>
    <phoneticPr fontId="1"/>
  </si>
  <si>
    <t>qramo</t>
    <phoneticPr fontId="1"/>
  </si>
  <si>
    <t>qramo🤑（くらも）🛹📷💻🚘</t>
    <phoneticPr fontId="1"/>
  </si>
  <si>
    <t>rampotchi_</t>
    <phoneticPr fontId="1"/>
  </si>
  <si>
    <t>ランポっち@星詠み☄ ⚓ 👾 🎣 🍃</t>
    <phoneticPr fontId="1"/>
  </si>
  <si>
    <t>RKTSCA</t>
    <phoneticPr fontId="1"/>
  </si>
  <si>
    <t>すかぁ</t>
    <phoneticPr fontId="1"/>
  </si>
  <si>
    <t>s4to329</t>
    <phoneticPr fontId="1"/>
  </si>
  <si>
    <t>さとう</t>
    <phoneticPr fontId="1"/>
  </si>
  <si>
    <t>Sc_Pikurin</t>
    <phoneticPr fontId="1"/>
  </si>
  <si>
    <t>Pikurin</t>
    <phoneticPr fontId="1"/>
  </si>
  <si>
    <t>scratchsatuma</t>
    <phoneticPr fontId="1"/>
  </si>
  <si>
    <t>国産さつまいも100%使用！𝕏</t>
    <phoneticPr fontId="1"/>
  </si>
  <si>
    <t>siopanfactory</t>
    <phoneticPr fontId="1"/>
  </si>
  <si>
    <t>塩パン工房</t>
    <phoneticPr fontId="1"/>
  </si>
  <si>
    <t>stafx6698</t>
    <phoneticPr fontId="1"/>
  </si>
  <si>
    <t>stafx</t>
    <phoneticPr fontId="1"/>
  </si>
  <si>
    <t>suisei1166</t>
    <phoneticPr fontId="1"/>
  </si>
  <si>
    <t>すー</t>
    <phoneticPr fontId="1"/>
  </si>
  <si>
    <t>TAKA_no232323</t>
    <phoneticPr fontId="1"/>
  </si>
  <si>
    <t>たかーの</t>
    <phoneticPr fontId="1"/>
  </si>
  <si>
    <t>TIXDCD</t>
    <phoneticPr fontId="1"/>
  </si>
  <si>
    <t>t9</t>
    <phoneticPr fontId="1"/>
  </si>
  <si>
    <t>Ttro_FX</t>
    <phoneticPr fontId="1"/>
  </si>
  <si>
    <t>Ttro-FX/てーとろ</t>
    <phoneticPr fontId="1"/>
  </si>
  <si>
    <t>TUNA_521</t>
    <phoneticPr fontId="1"/>
  </si>
  <si>
    <t>ツナ</t>
    <phoneticPr fontId="1"/>
  </si>
  <si>
    <t>umiumishitake</t>
    <phoneticPr fontId="1"/>
  </si>
  <si>
    <t>UXRCF_sc</t>
    <phoneticPr fontId="1"/>
  </si>
  <si>
    <t>U𝕏RCF</t>
    <phoneticPr fontId="1"/>
  </si>
  <si>
    <t>Violey_</t>
    <phoneticPr fontId="1"/>
  </si>
  <si>
    <t>Violey</t>
    <phoneticPr fontId="1"/>
  </si>
  <si>
    <t>x____xuu__</t>
    <phoneticPr fontId="1"/>
  </si>
  <si>
    <t>xX0_Mame_0Xx</t>
    <phoneticPr fontId="1"/>
  </si>
  <si>
    <t>豆</t>
    <phoneticPr fontId="1"/>
  </si>
  <si>
    <t>zelveria</t>
    <phoneticPr fontId="1"/>
  </si>
  <si>
    <t>Zelria</t>
    <phoneticPr fontId="1"/>
  </si>
  <si>
    <t>---_--_--_--_--_---</t>
    <phoneticPr fontId="1"/>
  </si>
  <si>
    <t>_mumei_jp_</t>
    <phoneticPr fontId="1"/>
  </si>
  <si>
    <t>Pon0228</t>
    <phoneticPr fontId="1"/>
  </si>
  <si>
    <t>114423</t>
    <phoneticPr fontId="1"/>
  </si>
  <si>
    <t>Anemone_080</t>
    <phoneticPr fontId="1"/>
  </si>
  <si>
    <t>Nightartz</t>
    <phoneticPr fontId="1"/>
  </si>
  <si>
    <t>kotomi-meru</t>
    <phoneticPr fontId="1"/>
  </si>
  <si>
    <t>atyapi-FX</t>
    <phoneticPr fontId="1"/>
  </si>
  <si>
    <t>bantecGG</t>
    <phoneticPr fontId="1"/>
  </si>
  <si>
    <t>BlueYTR35</t>
    <phoneticPr fontId="1"/>
  </si>
  <si>
    <t>-Diamond_Scratch-</t>
    <phoneticPr fontId="1"/>
  </si>
  <si>
    <t>goziratomosura</t>
    <phoneticPr fontId="1"/>
  </si>
  <si>
    <t>doraemon0725</t>
    <phoneticPr fontId="1"/>
  </si>
  <si>
    <t>-ehime-</t>
    <phoneticPr fontId="1"/>
  </si>
  <si>
    <t>pikmi_taisa</t>
    <phoneticPr fontId="1"/>
  </si>
  <si>
    <t>unazyuuoomori</t>
    <phoneticPr fontId="1"/>
  </si>
  <si>
    <t>NeetFX</t>
    <phoneticPr fontId="1"/>
  </si>
  <si>
    <t>GOD54</t>
    <phoneticPr fontId="1"/>
  </si>
  <si>
    <t>GuraTea</t>
    <phoneticPr fontId="1"/>
  </si>
  <si>
    <t>Hiruneman</t>
    <phoneticPr fontId="1"/>
  </si>
  <si>
    <t>02_soramame</t>
    <phoneticPr fontId="1"/>
  </si>
  <si>
    <t>SUPER_PEANUTS</t>
    <phoneticPr fontId="1"/>
  </si>
  <si>
    <t>-Jikky-</t>
    <phoneticPr fontId="1"/>
  </si>
  <si>
    <t>zyobu</t>
    <phoneticPr fontId="1"/>
  </si>
  <si>
    <t>kainoko219444</t>
    <phoneticPr fontId="1"/>
  </si>
  <si>
    <t>roerou</t>
    <phoneticPr fontId="1"/>
  </si>
  <si>
    <t>kasasa01_2009sugu</t>
    <phoneticPr fontId="1"/>
  </si>
  <si>
    <t>katsuo777</t>
    <phoneticPr fontId="1"/>
  </si>
  <si>
    <t>kekelolo</t>
    <phoneticPr fontId="1"/>
  </si>
  <si>
    <t>oka-yu</t>
    <phoneticPr fontId="1"/>
  </si>
  <si>
    <t>LetsBurger</t>
    <phoneticPr fontId="1"/>
  </si>
  <si>
    <t>cixL-</t>
    <phoneticPr fontId="1"/>
  </si>
  <si>
    <t>maluyuu</t>
    <phoneticPr fontId="1"/>
  </si>
  <si>
    <t>manupuri_moemoe</t>
    <phoneticPr fontId="1"/>
  </si>
  <si>
    <t>pokosuke0825</t>
    <phoneticPr fontId="1"/>
  </si>
  <si>
    <t>Creative-18</t>
    <phoneticPr fontId="1"/>
  </si>
  <si>
    <t>meron765</t>
    <phoneticPr fontId="1"/>
  </si>
  <si>
    <t>medatyan</t>
    <phoneticPr fontId="1"/>
  </si>
  <si>
    <t>-MidGreen-</t>
    <phoneticPr fontId="1"/>
  </si>
  <si>
    <t>nakakouTV</t>
    <phoneticPr fontId="1"/>
  </si>
  <si>
    <t>nanakusa03</t>
    <phoneticPr fontId="1"/>
  </si>
  <si>
    <t>koppepann_7698</t>
    <phoneticPr fontId="1"/>
  </si>
  <si>
    <t>pandakun</t>
    <phoneticPr fontId="1"/>
  </si>
  <si>
    <t>kasutori</t>
    <phoneticPr fontId="1"/>
  </si>
  <si>
    <t>Oldcoinmania</t>
    <phoneticPr fontId="1"/>
  </si>
  <si>
    <t>ORIHIKAZE</t>
    <phoneticPr fontId="1"/>
  </si>
  <si>
    <t>kicrage_games</t>
    <phoneticPr fontId="1"/>
  </si>
  <si>
    <t>rampotchi</t>
    <phoneticPr fontId="1"/>
  </si>
  <si>
    <t>ScarletFX</t>
    <phoneticPr fontId="1"/>
  </si>
  <si>
    <t>SugarFX</t>
    <phoneticPr fontId="1"/>
  </si>
  <si>
    <t>satumanooimo-nosuke</t>
    <phoneticPr fontId="1"/>
  </si>
  <si>
    <t>siopan-1210</t>
    <phoneticPr fontId="1"/>
  </si>
  <si>
    <t>Xx_-star-_xX</t>
    <phoneticPr fontId="1"/>
  </si>
  <si>
    <t>ShinobuKochou</t>
    <phoneticPr fontId="1"/>
  </si>
  <si>
    <t>t9decode</t>
    <phoneticPr fontId="1"/>
  </si>
  <si>
    <t>Ttro-FX</t>
    <phoneticPr fontId="1"/>
  </si>
  <si>
    <t>TUNAKANN521</t>
    <phoneticPr fontId="1"/>
  </si>
  <si>
    <t>uminoikimono</t>
    <phoneticPr fontId="1"/>
  </si>
  <si>
    <t>UXRCF</t>
    <phoneticPr fontId="1"/>
  </si>
  <si>
    <t>-VioletArtz-</t>
    <phoneticPr fontId="1"/>
  </si>
  <si>
    <t>ikuradonburi</t>
    <phoneticPr fontId="1"/>
  </si>
  <si>
    <t>xX-_-Mame-_-Xx</t>
    <phoneticPr fontId="1"/>
  </si>
  <si>
    <t>netminn012</t>
  </si>
  <si>
    <t>どっかのネット民</t>
  </si>
  <si>
    <t>Tasa</t>
  </si>
  <si>
    <t>tatatasasasa</t>
  </si>
  <si>
    <t>こーさん/kousan</t>
  </si>
  <si>
    <t>koukou38</t>
  </si>
  <si>
    <t>かける族</t>
  </si>
  <si>
    <t>-25kakeru-25</t>
  </si>
  <si>
    <t>BLACK-FX</t>
  </si>
  <si>
    <t>ケンタのおじさん</t>
  </si>
  <si>
    <t>287228</t>
  </si>
  <si>
    <t>しおさば🧂🐟</t>
  </si>
  <si>
    <t>PQS2017</t>
  </si>
  <si>
    <t>ろあ</t>
  </si>
  <si>
    <t>roainu</t>
  </si>
  <si>
    <t>F₄NOH</t>
  </si>
  <si>
    <t>FlanArtz</t>
  </si>
  <si>
    <t>甘茶飴</t>
  </si>
  <si>
    <t>ginmokusei</t>
  </si>
  <si>
    <t>うみのも</t>
  </si>
  <si>
    <t>ayama</t>
  </si>
  <si>
    <t>-rema</t>
  </si>
  <si>
    <t>Mn__Shigure</t>
  </si>
  <si>
    <t>紫暮麗羅@新人歌い手</t>
  </si>
  <si>
    <t>琵琶湖3411M@タイピングとscratchやってる人</t>
  </si>
  <si>
    <t>hankyurenmei3</t>
  </si>
  <si>
    <t>あさじろー</t>
  </si>
  <si>
    <t>Shiroann</t>
  </si>
  <si>
    <t>ねぎまろ</t>
  </si>
  <si>
    <t>negimaro0312</t>
  </si>
  <si>
    <t>U_mokuzu</t>
    <phoneticPr fontId="1"/>
  </si>
  <si>
    <t>Tasa_intro</t>
    <phoneticPr fontId="1"/>
  </si>
  <si>
    <t>Shiroann_nu</t>
    <phoneticPr fontId="1"/>
  </si>
  <si>
    <t>scratch3411</t>
    <phoneticPr fontId="1"/>
  </si>
  <si>
    <t>Saltmackerel17</t>
    <phoneticPr fontId="1"/>
  </si>
  <si>
    <t>roa_inu</t>
    <phoneticPr fontId="1"/>
  </si>
  <si>
    <t>rip_kousan</t>
    <phoneticPr fontId="1"/>
  </si>
  <si>
    <t>netminn012</t>
    <phoneticPr fontId="1"/>
  </si>
  <si>
    <t>Negimaro031</t>
    <phoneticPr fontId="1"/>
  </si>
  <si>
    <t>Negi3441</t>
    <phoneticPr fontId="1"/>
  </si>
  <si>
    <t>Mn__Shigure</t>
    <phoneticPr fontId="1"/>
  </si>
  <si>
    <t>Cottyann8655</t>
  </si>
  <si>
    <t>🌸弓ぽん@ハリポタ大好きな人🌸</t>
  </si>
  <si>
    <t>Kentanoojisan</t>
    <phoneticPr fontId="1"/>
  </si>
  <si>
    <t>kakeruzoku</t>
    <phoneticPr fontId="1"/>
  </si>
  <si>
    <t>メタロロ</t>
  </si>
  <si>
    <t>dmmo-com-jp</t>
  </si>
  <si>
    <t>_THIA_K</t>
    <phoneticPr fontId="1"/>
  </si>
  <si>
    <t>mu_ran_ai</t>
  </si>
  <si>
    <t>むーらん＆藍</t>
  </si>
  <si>
    <t>muran-ai</t>
  </si>
  <si>
    <t>草木林森</t>
  </si>
  <si>
    <t>siratama-aya</t>
  </si>
  <si>
    <t>cit_r1ne</t>
  </si>
  <si>
    <t>Cottyann8655</t>
    <phoneticPr fontId="1"/>
  </si>
  <si>
    <t>F4NOH4164</t>
    <phoneticPr fontId="1"/>
  </si>
  <si>
    <t>ピカソおもかいは有害電波私働きますTetaumatawhakatangihangakoauaotam</t>
  </si>
  <si>
    <t>小島来ましたセリヌンティウス真島</t>
  </si>
  <si>
    <t>hayashi_kusaki</t>
    <phoneticPr fontId="1"/>
  </si>
  <si>
    <t>SpringF𝕏🐾</t>
  </si>
  <si>
    <t>6e6u_</t>
  </si>
  <si>
    <t>kamino_aoto</t>
  </si>
  <si>
    <t>hunahunamelonn</t>
  </si>
  <si>
    <t>夕廉瑠夏</t>
  </si>
  <si>
    <t>muhuu_712</t>
  </si>
  <si>
    <t>無浮雨</t>
  </si>
  <si>
    <t>muhuu712</t>
  </si>
  <si>
    <t>eikokoro</t>
  </si>
  <si>
    <t>lazulite0721</t>
    <phoneticPr fontId="1"/>
  </si>
  <si>
    <t>LightArtz_utl</t>
  </si>
  <si>
    <t>らいと / LightArtz</t>
  </si>
  <si>
    <t>maluyuu</t>
  </si>
  <si>
    <t>metaroro_H2</t>
    <phoneticPr fontId="1"/>
  </si>
  <si>
    <t>_ASA_JIRO_</t>
    <phoneticPr fontId="1"/>
  </si>
  <si>
    <t>ジャンル</t>
    <phoneticPr fontId="1"/>
  </si>
  <si>
    <t>アート</t>
    <phoneticPr fontId="1"/>
  </si>
  <si>
    <t>ジャンルID</t>
    <phoneticPr fontId="1"/>
  </si>
  <si>
    <t>映像</t>
    <rPh sb="0" eb="2">
      <t>エイゾウ</t>
    </rPh>
    <phoneticPr fontId="1"/>
  </si>
  <si>
    <t>ゲーム</t>
    <phoneticPr fontId="1"/>
  </si>
  <si>
    <t>音楽</t>
    <rPh sb="0" eb="2">
      <t>オンガク</t>
    </rPh>
    <phoneticPr fontId="1"/>
  </si>
  <si>
    <t>ららーめん🍜</t>
  </si>
  <si>
    <t>れま。@テスト期間</t>
  </si>
  <si>
    <t>技術</t>
    <rPh sb="0" eb="2">
      <t>ギジュツ</t>
    </rPh>
    <phoneticPr fontId="1"/>
  </si>
  <si>
    <t>Ashibara / あしばら</t>
  </si>
  <si>
    <t>その他</t>
    <rPh sb="2" eb="3">
      <t>タ</t>
    </rPh>
    <phoneticPr fontId="1"/>
  </si>
  <si>
    <t>その他</t>
    <phoneticPr fontId="1"/>
  </si>
  <si>
    <t>ば</t>
  </si>
  <si>
    <t>でしぴくみ ＊低浮上</t>
  </si>
  <si>
    <t>bpb_falche</t>
  </si>
  <si>
    <t>はろける</t>
  </si>
  <si>
    <t>Kainoko / かいのこ</t>
  </si>
  <si>
    <t>蒼人 🐏🤮@固ツイ見てくれ頼む</t>
  </si>
  <si>
    <t>かりかり🍄😇ロゴと作字</t>
  </si>
  <si>
    <t>アカウント削除済</t>
    <rPh sb="5" eb="8">
      <t>サクジョズ</t>
    </rPh>
    <phoneticPr fontId="1"/>
  </si>
  <si>
    <t>SUGUさん。</t>
  </si>
  <si>
    <t>andmanju_</t>
  </si>
  <si>
    <t>andmanju - あんどまんじゅう(Scratcher)</t>
  </si>
  <si>
    <t>andmanju</t>
  </si>
  <si>
    <t>Crown0216_sc</t>
  </si>
  <si>
    <t>くらうん / 映像制作 / Scratch / AviUtl</t>
  </si>
  <si>
    <t>-Crown-FX-</t>
  </si>
  <si>
    <t>MangoGroup ❘ ◢ Avicii ◤</t>
  </si>
  <si>
    <t>mangagroup</t>
    <phoneticPr fontId="1"/>
  </si>
  <si>
    <t>めだ茶</t>
    <phoneticPr fontId="1"/>
  </si>
  <si>
    <t>nakakou</t>
  </si>
  <si>
    <t>こいんまにあ🪙</t>
  </si>
  <si>
    <t>おもかい@映像弱い</t>
  </si>
  <si>
    <t>Atridott ･ la’wjulha</t>
  </si>
  <si>
    <t>Yuk3u</t>
  </si>
  <si>
    <t>Yuk.</t>
  </si>
  <si>
    <t>yukku</t>
  </si>
  <si>
    <t>夏眠</t>
  </si>
  <si>
    <t>ぺいんと / Paint8Q</t>
  </si>
  <si>
    <t>2m_020</t>
  </si>
  <si>
    <t>Pᴏʟʏɢᴏɴ Aʀᴛ</t>
  </si>
  <si>
    <t>PolygonArt</t>
  </si>
  <si>
    <t>NyancoAnime</t>
  </si>
  <si>
    <t>猫月 / Nyanco Animation</t>
  </si>
  <si>
    <t>nyanco-guy</t>
  </si>
  <si>
    <t>めろんぬ</t>
  </si>
  <si>
    <t>troydzn_2gou</t>
  </si>
  <si>
    <t>とろい2号</t>
  </si>
  <si>
    <t>-troydzn-</t>
  </si>
  <si>
    <t>NiraTsukune</t>
  </si>
  <si>
    <t>NiraTsukune / にらつくね</t>
  </si>
  <si>
    <t>NyahaFX</t>
  </si>
  <si>
    <t>にゃは@3さい</t>
  </si>
  <si>
    <t>nyahahanohahaha</t>
  </si>
  <si>
    <t>infhsv</t>
  </si>
  <si>
    <t>infz</t>
  </si>
  <si>
    <t>infinitto</t>
  </si>
  <si>
    <t>lattefx_</t>
  </si>
  <si>
    <t>らて</t>
    <phoneticPr fontId="1"/>
  </si>
  <si>
    <t>Lattefx_sabu</t>
  </si>
  <si>
    <t>uooooooooououo</t>
  </si>
  <si>
    <t>Shαchik^o^u</t>
  </si>
  <si>
    <t>shachikou</t>
  </si>
  <si>
    <t>ham_mog_AviUtl</t>
  </si>
  <si>
    <t>ねこま</t>
  </si>
  <si>
    <t>I___bubble___I</t>
  </si>
  <si>
    <t>らぎねこ@誰引くか悩み中</t>
  </si>
  <si>
    <t>梅りんご/ringo2go</t>
  </si>
  <si>
    <t>しいたけ</t>
  </si>
  <si>
    <t>魚卵</t>
  </si>
  <si>
    <t>yuharu55</t>
  </si>
  <si>
    <t>ゆはる</t>
  </si>
  <si>
    <t>yuharu555</t>
  </si>
  <si>
    <t>hidorus_creator</t>
  </si>
  <si>
    <t>ひどるす │ 文字PV</t>
  </si>
  <si>
    <t>H1D0RUS_218</t>
  </si>
  <si>
    <t>qila_mc</t>
  </si>
  <si>
    <t>くぃりあ</t>
  </si>
  <si>
    <t>BxlInQ</t>
  </si>
  <si>
    <t>yuriy97028800</t>
  </si>
  <si>
    <t>Dhucrix/タックル下北沢</t>
  </si>
  <si>
    <t>buisupo_omura</t>
  </si>
  <si>
    <t>kicrage_Scratch</t>
  </si>
  <si>
    <t>kicrage | Keke</t>
  </si>
  <si>
    <t>ArLgon_sb3</t>
  </si>
  <si>
    <t>あぁるごん.sb3</t>
  </si>
  <si>
    <t>syou2008</t>
  </si>
  <si>
    <t>momo_neeeko</t>
  </si>
  <si>
    <t>もも貓</t>
  </si>
  <si>
    <t>Remu_tv</t>
  </si>
  <si>
    <t>れむ茶🍵#プログラマー</t>
  </si>
  <si>
    <t>kksm-y</t>
  </si>
  <si>
    <t>46491cat</t>
  </si>
  <si>
    <t>ねことら</t>
  </si>
  <si>
    <t>Cat-tiger-</t>
  </si>
  <si>
    <t>kobaDesignz</t>
  </si>
  <si>
    <t>kobajin</t>
  </si>
  <si>
    <t>keityan_eizou</t>
  </si>
  <si>
    <t>寝不足末期なけーちゃ</t>
  </si>
  <si>
    <t>k-sk17</t>
  </si>
  <si>
    <t>ukitomoukinet</t>
  </si>
  <si>
    <t>うきとも🟡</t>
  </si>
  <si>
    <t>okutopas</t>
  </si>
  <si>
    <t>kaneoFX_</t>
  </si>
  <si>
    <t>かねお</t>
  </si>
  <si>
    <t>-kaneofx-</t>
  </si>
  <si>
    <t>kyonoserifu</t>
  </si>
  <si>
    <t>39kyoto</t>
  </si>
  <si>
    <t>SC_kaaakeee</t>
  </si>
  <si>
    <t>かぁーさん/kaaakeee</t>
  </si>
  <si>
    <t>kaaakeee</t>
  </si>
  <si>
    <t>kashiwaa_</t>
  </si>
  <si>
    <t>かしわ/-_kashiwa_-</t>
  </si>
  <si>
    <t>-_kashiwa_-</t>
  </si>
  <si>
    <t>TAKA-kitsu</t>
  </si>
  <si>
    <t>tanabe1419675</t>
  </si>
  <si>
    <t>tanabe14</t>
  </si>
  <si>
    <t>06552355x</t>
  </si>
  <si>
    <t>_AGEPANN</t>
  </si>
  <si>
    <t>poteto1534</t>
  </si>
  <si>
    <t>ぽてと🍟</t>
  </si>
  <si>
    <t>potepo_tomato</t>
  </si>
  <si>
    <t>RRR_scratch</t>
  </si>
  <si>
    <t>★Rai★</t>
  </si>
  <si>
    <t>RRR-scratch</t>
  </si>
  <si>
    <t>Lycka7__</t>
  </si>
  <si>
    <t>Lycka / りゅっか</t>
  </si>
  <si>
    <t>-Lycka-</t>
  </si>
  <si>
    <t>1998ky262_FX</t>
  </si>
  <si>
    <t>Springer_JA</t>
  </si>
  <si>
    <t>iwasiniki</t>
  </si>
  <si>
    <t>Cranberrytrap</t>
  </si>
  <si>
    <t>driveGOX0925</t>
  </si>
  <si>
    <t>driveGOX</t>
  </si>
  <si>
    <t>Lua_yoghurt_oO</t>
  </si>
  <si>
    <t>ルア໒꒱.+</t>
  </si>
  <si>
    <t>Mitsuba-38</t>
  </si>
  <si>
    <t>mit_toka</t>
  </si>
  <si>
    <t>みととか</t>
  </si>
  <si>
    <t>_372</t>
  </si>
  <si>
    <t>sz6hxTLrVs67134</t>
  </si>
  <si>
    <t>蘇ノ乃</t>
  </si>
  <si>
    <t>sonononono</t>
  </si>
  <si>
    <t>bakeneko1212</t>
  </si>
  <si>
    <t>化け猫</t>
  </si>
  <si>
    <t>Kannasiinara</t>
  </si>
  <si>
    <t>わふじ</t>
  </si>
  <si>
    <t>Kyu-ko</t>
  </si>
  <si>
    <t>vlqtz75301</t>
  </si>
  <si>
    <t>みつき</t>
  </si>
  <si>
    <t>sakuraringorururu</t>
  </si>
  <si>
    <t>17yBetelgeuse</t>
  </si>
  <si>
    <t>betelgeuse_17y/べてる</t>
  </si>
  <si>
    <t>betelgeuse_17y</t>
  </si>
  <si>
    <t>aisu_teo</t>
  </si>
  <si>
    <t>Hyoka_.eizo</t>
  </si>
  <si>
    <t>SmewDZN</t>
  </si>
  <si>
    <t>ningennnoyouna</t>
  </si>
  <si>
    <t>ninngennnoyounahito</t>
  </si>
  <si>
    <t>Excel_DZN0832</t>
  </si>
  <si>
    <t>Excel ___</t>
  </si>
  <si>
    <t>ExcelDZN</t>
  </si>
  <si>
    <t>scratch221171</t>
  </si>
  <si>
    <t>さくにぃ@scratch221171</t>
  </si>
  <si>
    <t>221171</t>
  </si>
  <si>
    <t>scratch_U_08</t>
  </si>
  <si>
    <t>U-08</t>
  </si>
  <si>
    <t>2030scratch</t>
  </si>
  <si>
    <t>東急バス好き</t>
  </si>
  <si>
    <t>2030sdgs</t>
  </si>
  <si>
    <t>Vv_ReZ_vV</t>
  </si>
  <si>
    <t>Яe:Z ◼️🌐;ϟᴰ</t>
  </si>
  <si>
    <t>MU-CHAN1008gbt_773</t>
  </si>
  <si>
    <t>_ASA_JIRO_20</t>
  </si>
  <si>
    <t>1110_rema</t>
  </si>
  <si>
    <t>amatyame</t>
  </si>
  <si>
    <t>acerola893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</si>
</sst>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7" formatCode="0.0_ "/>
    <numFmt numFmtId="180" formatCode="yyyy/mm"/>
    <numFmt numFmtId="181" formatCode="yyyy/mm/dd"/>
  </numFmts>
  <fonts count="5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name val="Noto Sans JP Medium"/>
      <family val="3"/>
      <charset val="128"/>
    </font>
    <font>
      <sz val="9"/>
      <color theme="0"/>
      <name val="Noto Sans JP Medium"/>
      <family val="3"/>
      <charset val="128"/>
    </font>
    <font>
      <sz val="9"/>
      <color rgb="FFFF0000"/>
      <name val="Noto Sans JP Medium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180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180" fontId="2" fillId="0" borderId="1" xfId="0" applyNumberFormat="1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181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left" vertical="center"/>
    </xf>
    <xf numFmtId="180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181" fontId="2" fillId="0" borderId="1" xfId="0" applyNumberFormat="1" applyFont="1" applyBorder="1" applyAlignment="1">
      <alignment horizontal="right" vertical="center"/>
    </xf>
    <xf numFmtId="181" fontId="2" fillId="0" borderId="0" xfId="0" applyNumberFormat="1" applyFont="1" applyAlignment="1">
      <alignment horizontal="right" vertical="center"/>
    </xf>
  </cellXfs>
  <cellStyles count="1">
    <cellStyle name="標準" xfId="0" builtinId="0"/>
  </cellStyles>
  <dxfs count="5"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CC11D-A932-4C18-8071-2A2BAF4B5E9D}">
  <sheetPr codeName="Sheet1">
    <pageSetUpPr fitToPage="1"/>
  </sheetPr>
  <dimension ref="A1:N202"/>
  <sheetViews>
    <sheetView tabSelected="1" zoomScale="70" zoomScaleNormal="70" workbookViewId="0">
      <pane ySplit="1" topLeftCell="A2" activePane="bottomLeft" state="frozen"/>
      <selection activeCell="G1" sqref="G1"/>
      <selection pane="bottomLeft" activeCell="K19" sqref="K19"/>
    </sheetView>
  </sheetViews>
  <sheetFormatPr defaultColWidth="19.375" defaultRowHeight="14.4" x14ac:dyDescent="0.4"/>
  <cols>
    <col min="1" max="1" width="21.875" style="17" customWidth="1"/>
    <col min="2" max="2" width="81.25" style="17" bestFit="1" customWidth="1"/>
    <col min="3" max="3" width="36.875" style="17" bestFit="1" customWidth="1"/>
    <col min="4" max="4" width="10" style="18" bestFit="1" customWidth="1"/>
    <col min="5" max="5" width="21" style="22" bestFit="1" customWidth="1"/>
    <col min="6" max="6" width="18.75" style="19" bestFit="1" customWidth="1"/>
    <col min="7" max="7" width="25.5" style="20" bestFit="1" customWidth="1"/>
    <col min="8" max="8" width="57.75" style="17" customWidth="1"/>
    <col min="9" max="9" width="11.75" style="22" bestFit="1" customWidth="1"/>
    <col min="10" max="10" width="9.75" style="17" bestFit="1" customWidth="1"/>
    <col min="11" max="11" width="12.5" style="21" bestFit="1" customWidth="1"/>
    <col min="12" max="12" width="25.5" style="22" bestFit="1" customWidth="1"/>
    <col min="13" max="13" width="18.75" style="17" bestFit="1" customWidth="1"/>
    <col min="14" max="16384" width="19.375" style="15"/>
  </cols>
  <sheetData>
    <row r="1" spans="1:13" s="8" customFormat="1" x14ac:dyDescent="0.4">
      <c r="A1" s="1" t="s">
        <v>5</v>
      </c>
      <c r="B1" s="1" t="s">
        <v>4</v>
      </c>
      <c r="C1" s="1" t="s">
        <v>142</v>
      </c>
      <c r="D1" s="2" t="s">
        <v>1</v>
      </c>
      <c r="E1" s="1" t="s">
        <v>3</v>
      </c>
      <c r="F1" s="3" t="s">
        <v>8</v>
      </c>
      <c r="G1" s="4" t="s">
        <v>0</v>
      </c>
      <c r="H1" s="5" t="s">
        <v>142</v>
      </c>
      <c r="I1" s="5" t="s">
        <v>414</v>
      </c>
      <c r="J1" s="5" t="s">
        <v>412</v>
      </c>
      <c r="K1" s="6" t="s">
        <v>2</v>
      </c>
      <c r="L1" s="5" t="s">
        <v>12</v>
      </c>
      <c r="M1" s="7" t="s">
        <v>8</v>
      </c>
    </row>
    <row r="2" spans="1:13" x14ac:dyDescent="0.4">
      <c r="A2" s="9" t="s">
        <v>585</v>
      </c>
      <c r="B2" s="9" t="s">
        <v>364</v>
      </c>
      <c r="C2" s="9" t="str">
        <f t="shared" ref="C2:C65" si="0">"https://x.com/"&amp;A2</f>
        <v>https://x.com/_ASA_JIRO_20</v>
      </c>
      <c r="D2" s="10">
        <v>45323</v>
      </c>
      <c r="E2" s="24" t="str">
        <f t="shared" ref="E2:E65" ca="1" si="1">DATEDIF($D2,TODAY(),"y")&amp;"年"&amp;DATEDIF($D2,TODAY(),"YM")&amp;"ヵ月"</f>
        <v>0年4ヵ月</v>
      </c>
      <c r="F2" s="11"/>
      <c r="G2" s="12" t="s">
        <v>411</v>
      </c>
      <c r="H2" s="9" t="str">
        <f t="shared" ref="H2:H65" si="2">"https://scratch.mit.edu/users/"&amp;G2&amp;"/"</f>
        <v>https://scratch.mit.edu/users/_ASA_JIRO_/</v>
      </c>
      <c r="I2" s="14">
        <v>1</v>
      </c>
      <c r="J2" s="9" t="s">
        <v>413</v>
      </c>
      <c r="K2" s="13" t="str">
        <f>SUBSTITUTE(MID(_xlfn.WEBSERVICE("https://api.scratch.mit.edu/users/"&amp;$G2),FIND("joined",_xlfn.WEBSERVICE("https://api.scratch.mit.edu/users/"&amp;$G2))+9,10),"-","/")</f>
        <v>2023/07/23</v>
      </c>
      <c r="L2" s="24" t="str">
        <f ca="1">DATEDIF($K2,TODAY(),"y")&amp;"年"&amp;DATEDIF($K2,TODAY(),"YM")&amp;"ヵ月"&amp;DATEDIF($K2,TODAY(),"md")&amp;"日"</f>
        <v>0年10ヵ月14日</v>
      </c>
      <c r="M2" s="9"/>
    </row>
    <row r="3" spans="1:13" x14ac:dyDescent="0.4">
      <c r="A3" s="9" t="s">
        <v>586</v>
      </c>
      <c r="B3" s="9" t="s">
        <v>419</v>
      </c>
      <c r="C3" s="9" t="str">
        <f t="shared" si="0"/>
        <v>https://x.com/1110_rema</v>
      </c>
      <c r="D3" s="10">
        <v>45047</v>
      </c>
      <c r="E3" s="24" t="str">
        <f t="shared" ca="1" si="1"/>
        <v>1年1ヵ月</v>
      </c>
      <c r="F3" s="11"/>
      <c r="G3" s="12" t="s">
        <v>359</v>
      </c>
      <c r="H3" s="9" t="str">
        <f t="shared" si="2"/>
        <v>https://scratch.mit.edu/users/-rema/</v>
      </c>
      <c r="I3" s="14">
        <v>1</v>
      </c>
      <c r="J3" s="9" t="s">
        <v>413</v>
      </c>
      <c r="K3" s="13" t="str">
        <f t="shared" ref="K3:K66" si="3">SUBSTITUTE(MID(_xlfn.WEBSERVICE("https://api.scratch.mit.edu/users/"&amp;$G3),FIND("joined",_xlfn.WEBSERVICE("https://api.scratch.mit.edu/users/"&amp;$G3))+9,10),"-","/")</f>
        <v>2023/01/08</v>
      </c>
      <c r="L3" s="24" t="str">
        <f t="shared" ref="L3:L66" ca="1" si="4">DATEDIF($K3,TODAY(),"y")&amp;"年"&amp;DATEDIF($K3,TODAY(),"YM")&amp;"ヵ月"&amp;DATEDIF($K3,TODAY(),"md")&amp;"日"</f>
        <v>1年4ヵ月29日</v>
      </c>
      <c r="M3" s="9"/>
    </row>
    <row r="4" spans="1:13" x14ac:dyDescent="0.4">
      <c r="A4" s="9" t="s">
        <v>451</v>
      </c>
      <c r="B4" s="9" t="s">
        <v>452</v>
      </c>
      <c r="C4" s="9" t="str">
        <f t="shared" si="0"/>
        <v>https://x.com/2m_020</v>
      </c>
      <c r="D4" s="10">
        <v>44986</v>
      </c>
      <c r="E4" s="14" t="str">
        <f t="shared" ca="1" si="1"/>
        <v>1年3ヵ月</v>
      </c>
      <c r="F4" s="11"/>
      <c r="G4" s="12" t="s">
        <v>453</v>
      </c>
      <c r="H4" s="9" t="str">
        <f t="shared" si="2"/>
        <v>https://scratch.mit.edu/users/PolygonArt/</v>
      </c>
      <c r="I4" s="14">
        <v>1</v>
      </c>
      <c r="J4" s="9" t="s">
        <v>413</v>
      </c>
      <c r="K4" s="13" t="str">
        <f t="shared" si="3"/>
        <v>2022/10/16</v>
      </c>
      <c r="L4" s="24" t="str">
        <f t="shared" ca="1" si="4"/>
        <v>1年7ヵ月21日</v>
      </c>
      <c r="M4" s="9"/>
    </row>
    <row r="5" spans="1:13" x14ac:dyDescent="0.4">
      <c r="A5" s="9" t="s">
        <v>398</v>
      </c>
      <c r="B5" s="9" t="s">
        <v>196</v>
      </c>
      <c r="C5" s="9" t="str">
        <f t="shared" si="0"/>
        <v>https://x.com/6e6u_</v>
      </c>
      <c r="D5" s="10">
        <v>45261</v>
      </c>
      <c r="E5" s="24" t="str">
        <f t="shared" ca="1" si="1"/>
        <v>0年6ヵ月</v>
      </c>
      <c r="F5" s="11"/>
      <c r="G5" s="12" t="s">
        <v>301</v>
      </c>
      <c r="H5" s="9" t="str">
        <f t="shared" si="2"/>
        <v>https://scratch.mit.edu/users/roerou/</v>
      </c>
      <c r="I5" s="14">
        <v>1</v>
      </c>
      <c r="J5" s="9" t="s">
        <v>413</v>
      </c>
      <c r="K5" s="13" t="str">
        <f t="shared" si="3"/>
        <v>2023/04/25</v>
      </c>
      <c r="L5" s="24" t="str">
        <f t="shared" ca="1" si="4"/>
        <v>1年1ヵ月12日</v>
      </c>
      <c r="M5" s="9"/>
    </row>
    <row r="6" spans="1:13" x14ac:dyDescent="0.4">
      <c r="A6" s="9" t="s">
        <v>588</v>
      </c>
      <c r="B6" s="9" t="s">
        <v>125</v>
      </c>
      <c r="C6" s="9" t="str">
        <f t="shared" si="0"/>
        <v>https://x.com/acerola893</v>
      </c>
      <c r="D6" s="10">
        <v>45261</v>
      </c>
      <c r="E6" s="24" t="str">
        <f t="shared" ca="1" si="1"/>
        <v>0年6ヵ月</v>
      </c>
      <c r="F6" s="11"/>
      <c r="G6" s="12" t="s">
        <v>124</v>
      </c>
      <c r="H6" s="9" t="str">
        <f t="shared" si="2"/>
        <v>https://scratch.mit.edu/users/-Cavlle-/</v>
      </c>
      <c r="I6" s="14">
        <v>1</v>
      </c>
      <c r="J6" s="9" t="s">
        <v>413</v>
      </c>
      <c r="K6" s="13" t="str">
        <f t="shared" si="3"/>
        <v>2024/01/19</v>
      </c>
      <c r="L6" s="24" t="str">
        <f t="shared" ca="1" si="4"/>
        <v>0年4ヵ月18日</v>
      </c>
      <c r="M6" s="9"/>
    </row>
    <row r="7" spans="1:13" x14ac:dyDescent="0.4">
      <c r="A7" s="9" t="s">
        <v>587</v>
      </c>
      <c r="B7" s="9" t="s">
        <v>355</v>
      </c>
      <c r="C7" s="9" t="str">
        <f t="shared" si="0"/>
        <v>https://x.com/amatyame</v>
      </c>
      <c r="D7" s="10">
        <v>44256</v>
      </c>
      <c r="E7" s="24" t="str">
        <f t="shared" ca="1" si="1"/>
        <v>3年3ヵ月</v>
      </c>
      <c r="F7" s="11"/>
      <c r="G7" s="12" t="s">
        <v>356</v>
      </c>
      <c r="H7" s="9" t="str">
        <f t="shared" si="2"/>
        <v>https://scratch.mit.edu/users/ginmokusei/</v>
      </c>
      <c r="I7" s="14">
        <v>1</v>
      </c>
      <c r="J7" s="9" t="s">
        <v>413</v>
      </c>
      <c r="K7" s="13" t="str">
        <f t="shared" si="3"/>
        <v>2020/07/09</v>
      </c>
      <c r="L7" s="24" t="str">
        <f t="shared" ca="1" si="4"/>
        <v>3年10ヵ月28日</v>
      </c>
      <c r="M7" s="9"/>
    </row>
    <row r="8" spans="1:13" x14ac:dyDescent="0.4">
      <c r="A8" s="16" t="s">
        <v>13</v>
      </c>
      <c r="B8" s="9" t="s">
        <v>118</v>
      </c>
      <c r="C8" s="9" t="str">
        <f t="shared" si="0"/>
        <v>https://x.com/atomic_osushi</v>
      </c>
      <c r="D8" s="10">
        <v>44348</v>
      </c>
      <c r="E8" s="24" t="str">
        <f t="shared" ca="1" si="1"/>
        <v>3年0ヵ月</v>
      </c>
      <c r="F8" s="11"/>
      <c r="G8" s="12" t="s">
        <v>117</v>
      </c>
      <c r="H8" s="9" t="str">
        <f t="shared" si="2"/>
        <v>https://scratch.mit.edu/users/atomic-osushi/</v>
      </c>
      <c r="I8" s="14">
        <v>1</v>
      </c>
      <c r="J8" s="9" t="s">
        <v>413</v>
      </c>
      <c r="K8" s="13" t="str">
        <f t="shared" si="3"/>
        <v>2021/02/24</v>
      </c>
      <c r="L8" s="24" t="str">
        <f t="shared" ca="1" si="4"/>
        <v>3年3ヵ月13日</v>
      </c>
      <c r="M8" s="9"/>
    </row>
    <row r="9" spans="1:13" x14ac:dyDescent="0.4">
      <c r="A9" s="9" t="s">
        <v>555</v>
      </c>
      <c r="B9" s="9" t="s">
        <v>556</v>
      </c>
      <c r="C9" s="9" t="str">
        <f t="shared" si="0"/>
        <v>https://x.com/bakeneko1212</v>
      </c>
      <c r="D9" s="10">
        <v>45017</v>
      </c>
      <c r="E9" s="14" t="str">
        <f t="shared" ca="1" si="1"/>
        <v>1年2ヵ月</v>
      </c>
      <c r="F9" s="11"/>
      <c r="G9" s="12" t="s">
        <v>555</v>
      </c>
      <c r="H9" s="9" t="str">
        <f t="shared" si="2"/>
        <v>https://scratch.mit.edu/users/bakeneko1212/</v>
      </c>
      <c r="I9" s="14">
        <v>1</v>
      </c>
      <c r="J9" s="9" t="s">
        <v>413</v>
      </c>
      <c r="K9" s="13" t="str">
        <f t="shared" si="3"/>
        <v>2023/03/24</v>
      </c>
      <c r="L9" s="24" t="str">
        <f t="shared" ca="1" si="4"/>
        <v>1年2ヵ月13日</v>
      </c>
      <c r="M9" s="9"/>
    </row>
    <row r="10" spans="1:13" x14ac:dyDescent="0.4">
      <c r="A10" s="9" t="s">
        <v>392</v>
      </c>
      <c r="B10" s="9" t="s">
        <v>380</v>
      </c>
      <c r="C10" s="9" t="str">
        <f t="shared" si="0"/>
        <v>https://x.com/Cottyann8655</v>
      </c>
      <c r="D10" s="10">
        <v>45017</v>
      </c>
      <c r="E10" s="24" t="str">
        <f t="shared" ca="1" si="1"/>
        <v>1年2ヵ月</v>
      </c>
      <c r="F10" s="11"/>
      <c r="G10" s="12" t="s">
        <v>379</v>
      </c>
      <c r="H10" s="9" t="str">
        <f t="shared" si="2"/>
        <v>https://scratch.mit.edu/users/Cottyann8655/</v>
      </c>
      <c r="I10" s="14">
        <v>1</v>
      </c>
      <c r="J10" s="9" t="s">
        <v>413</v>
      </c>
      <c r="K10" s="13" t="str">
        <f t="shared" si="3"/>
        <v>2022/05/23</v>
      </c>
      <c r="L10" s="24" t="str">
        <f t="shared" ca="1" si="4"/>
        <v>2年0ヵ月14日</v>
      </c>
      <c r="M10" s="9"/>
    </row>
    <row r="11" spans="1:13" x14ac:dyDescent="0.4">
      <c r="A11" s="9" t="s">
        <v>173</v>
      </c>
      <c r="B11" s="9" t="s">
        <v>174</v>
      </c>
      <c r="C11" s="9" t="str">
        <f t="shared" si="0"/>
        <v>https://x.com/e_hime__</v>
      </c>
      <c r="D11" s="10">
        <v>44774</v>
      </c>
      <c r="E11" s="24" t="str">
        <f t="shared" ca="1" si="1"/>
        <v>1年10ヵ月</v>
      </c>
      <c r="F11" s="11"/>
      <c r="G11" s="12" t="s">
        <v>289</v>
      </c>
      <c r="H11" s="9" t="str">
        <f t="shared" si="2"/>
        <v>https://scratch.mit.edu/users/-ehime-/</v>
      </c>
      <c r="I11" s="14">
        <v>1</v>
      </c>
      <c r="J11" s="9" t="s">
        <v>413</v>
      </c>
      <c r="K11" s="13" t="str">
        <f t="shared" si="3"/>
        <v>2022/06/09</v>
      </c>
      <c r="L11" s="24" t="str">
        <f t="shared" ca="1" si="4"/>
        <v>1年11ヵ月28日</v>
      </c>
      <c r="M11" s="9"/>
    </row>
    <row r="12" spans="1:13" x14ac:dyDescent="0.4">
      <c r="A12" s="9" t="s">
        <v>98</v>
      </c>
      <c r="B12" s="9" t="s">
        <v>97</v>
      </c>
      <c r="C12" s="9" t="str">
        <f t="shared" si="0"/>
        <v>https://x.com/hati325</v>
      </c>
      <c r="D12" s="10">
        <v>44440</v>
      </c>
      <c r="E12" s="24" t="str">
        <f t="shared" ca="1" si="1"/>
        <v>2年9ヵ月</v>
      </c>
      <c r="F12" s="11"/>
      <c r="G12" s="12" t="s">
        <v>96</v>
      </c>
      <c r="H12" s="9" t="str">
        <f t="shared" si="2"/>
        <v>https://scratch.mit.edu/users/l_____Scratch_____l/</v>
      </c>
      <c r="I12" s="14">
        <v>1</v>
      </c>
      <c r="J12" s="9" t="s">
        <v>413</v>
      </c>
      <c r="K12" s="13" t="str">
        <f t="shared" si="3"/>
        <v>2021/08/09</v>
      </c>
      <c r="L12" s="24" t="str">
        <f t="shared" ca="1" si="4"/>
        <v>2年9ヵ月28日</v>
      </c>
      <c r="M12" s="9"/>
    </row>
    <row r="13" spans="1:13" x14ac:dyDescent="0.4">
      <c r="A13" s="9" t="s">
        <v>396</v>
      </c>
      <c r="B13" s="9" t="s">
        <v>389</v>
      </c>
      <c r="C13" s="9" t="str">
        <f t="shared" si="0"/>
        <v>https://x.com/hayashi_kusaki</v>
      </c>
      <c r="D13" s="10">
        <v>45292</v>
      </c>
      <c r="E13" s="24" t="str">
        <f t="shared" ca="1" si="1"/>
        <v>0年5ヵ月</v>
      </c>
      <c r="F13" s="11"/>
      <c r="G13" s="12" t="s">
        <v>390</v>
      </c>
      <c r="H13" s="9" t="str">
        <f t="shared" si="2"/>
        <v>https://scratch.mit.edu/users/siratama-aya/</v>
      </c>
      <c r="I13" s="14">
        <v>1</v>
      </c>
      <c r="J13" s="9" t="s">
        <v>413</v>
      </c>
      <c r="K13" s="13" t="str">
        <f t="shared" si="3"/>
        <v>2022/02/04</v>
      </c>
      <c r="L13" s="24" t="str">
        <f t="shared" ca="1" si="4"/>
        <v>2年4ヵ月2日</v>
      </c>
      <c r="M13" s="9"/>
    </row>
    <row r="14" spans="1:13" x14ac:dyDescent="0.4">
      <c r="A14" s="9" t="s">
        <v>557</v>
      </c>
      <c r="B14" s="9" t="s">
        <v>558</v>
      </c>
      <c r="C14" s="9" t="str">
        <f t="shared" si="0"/>
        <v>https://x.com/Kannasiinara</v>
      </c>
      <c r="D14" s="10">
        <v>45139</v>
      </c>
      <c r="E14" s="14" t="str">
        <f t="shared" ca="1" si="1"/>
        <v>0年10ヵ月</v>
      </c>
      <c r="F14" s="11"/>
      <c r="G14" s="12" t="s">
        <v>559</v>
      </c>
      <c r="H14" s="9" t="str">
        <f t="shared" si="2"/>
        <v>https://scratch.mit.edu/users/Kyu-ko/</v>
      </c>
      <c r="I14" s="14">
        <v>1</v>
      </c>
      <c r="J14" s="9" t="s">
        <v>413</v>
      </c>
      <c r="K14" s="13" t="str">
        <f t="shared" si="3"/>
        <v>2023/09/02</v>
      </c>
      <c r="L14" s="24" t="str">
        <f t="shared" ca="1" si="4"/>
        <v>0年9ヵ月4日</v>
      </c>
      <c r="M14" s="9"/>
    </row>
    <row r="15" spans="1:13" x14ac:dyDescent="0.4">
      <c r="A15" s="9" t="s">
        <v>86</v>
      </c>
      <c r="B15" s="9" t="s">
        <v>430</v>
      </c>
      <c r="C15" s="9" t="str">
        <f t="shared" si="0"/>
        <v>https://x.com/karicalikinoko</v>
      </c>
      <c r="D15" s="10">
        <v>44927</v>
      </c>
      <c r="E15" s="24" t="str">
        <f t="shared" ca="1" si="1"/>
        <v>1年5ヵ月</v>
      </c>
      <c r="F15" s="11" t="s">
        <v>11</v>
      </c>
      <c r="G15" s="12" t="s">
        <v>85</v>
      </c>
      <c r="H15" s="9" t="str">
        <f t="shared" si="2"/>
        <v>https://scratch.mit.edu/users/karikaripilz/</v>
      </c>
      <c r="I15" s="14">
        <v>1</v>
      </c>
      <c r="J15" s="9" t="s">
        <v>413</v>
      </c>
      <c r="K15" s="13" t="str">
        <f t="shared" si="3"/>
        <v>2023/03/18</v>
      </c>
      <c r="L15" s="24" t="str">
        <f t="shared" ca="1" si="4"/>
        <v>1年2ヵ月19日</v>
      </c>
      <c r="M15" s="9"/>
    </row>
    <row r="16" spans="1:13" x14ac:dyDescent="0.4">
      <c r="A16" s="9" t="s">
        <v>84</v>
      </c>
      <c r="B16" s="9" t="s">
        <v>83</v>
      </c>
      <c r="C16" s="9" t="str">
        <f t="shared" si="0"/>
        <v>https://x.com/Karupiyonn</v>
      </c>
      <c r="D16" s="10">
        <v>44866</v>
      </c>
      <c r="E16" s="24" t="str">
        <f t="shared" ca="1" si="1"/>
        <v>1年7ヵ月</v>
      </c>
      <c r="F16" s="11"/>
      <c r="G16" s="12" t="s">
        <v>82</v>
      </c>
      <c r="H16" s="9" t="str">
        <f t="shared" si="2"/>
        <v>https://scratch.mit.edu/users/youmounotanbo/</v>
      </c>
      <c r="I16" s="14">
        <v>1</v>
      </c>
      <c r="J16" s="9" t="s">
        <v>413</v>
      </c>
      <c r="K16" s="13" t="str">
        <f t="shared" si="3"/>
        <v>2023/08/04</v>
      </c>
      <c r="L16" s="24" t="str">
        <f t="shared" ca="1" si="4"/>
        <v>0年10ヵ月2日</v>
      </c>
      <c r="M16" s="9" t="s">
        <v>431</v>
      </c>
    </row>
    <row r="17" spans="1:13" x14ac:dyDescent="0.4">
      <c r="A17" s="9" t="s">
        <v>202</v>
      </c>
      <c r="B17" s="9" t="s">
        <v>203</v>
      </c>
      <c r="C17" s="9" t="str">
        <f t="shared" si="0"/>
        <v>https://x.com/KoTHa_art</v>
      </c>
      <c r="D17" s="10">
        <v>44805</v>
      </c>
      <c r="E17" s="24" t="str">
        <f t="shared" ca="1" si="1"/>
        <v>1年9ヵ月</v>
      </c>
      <c r="F17" s="11"/>
      <c r="G17" s="12" t="s">
        <v>202</v>
      </c>
      <c r="H17" s="9" t="str">
        <f t="shared" si="2"/>
        <v>https://scratch.mit.edu/users/KoTHa_art/</v>
      </c>
      <c r="I17" s="14">
        <v>1</v>
      </c>
      <c r="J17" s="9" t="s">
        <v>413</v>
      </c>
      <c r="K17" s="13" t="str">
        <f t="shared" si="3"/>
        <v>2022/09/15</v>
      </c>
      <c r="L17" s="24" t="str">
        <f t="shared" ca="1" si="4"/>
        <v>1年8ヵ月22日</v>
      </c>
      <c r="M17" s="9"/>
    </row>
    <row r="18" spans="1:13" x14ac:dyDescent="0.4">
      <c r="A18" s="9" t="s">
        <v>204</v>
      </c>
      <c r="B18" s="9" t="s">
        <v>205</v>
      </c>
      <c r="C18" s="9" t="str">
        <f t="shared" si="0"/>
        <v>https://x.com/kpbr_onsen</v>
      </c>
      <c r="D18" s="10">
        <v>44531</v>
      </c>
      <c r="E18" s="24" t="str">
        <f t="shared" ca="1" si="1"/>
        <v>2年6ヵ月</v>
      </c>
      <c r="F18" s="11"/>
      <c r="G18" s="12" t="s">
        <v>305</v>
      </c>
      <c r="H18" s="9" t="str">
        <f t="shared" si="2"/>
        <v>https://scratch.mit.edu/users/oka-yu/</v>
      </c>
      <c r="I18" s="14">
        <v>1</v>
      </c>
      <c r="J18" s="9" t="s">
        <v>413</v>
      </c>
      <c r="K18" s="13" t="str">
        <f>SUBSTITUTE(MID(_xlfn.WEBSERVICE("https://api.scratch.mit.edu/users/"&amp;$G18),FIND("joined",_xlfn.WEBSERVICE("https://api.scratch.mit.edu/users/"&amp;$G18))+9,10),"-","/")</f>
        <v>2023/02/21</v>
      </c>
      <c r="L18" s="24" t="str">
        <f t="shared" ca="1" si="4"/>
        <v>1年3ヵ月16日</v>
      </c>
      <c r="M18" s="9"/>
    </row>
    <row r="19" spans="1:13" x14ac:dyDescent="0.4">
      <c r="A19" s="9" t="s">
        <v>406</v>
      </c>
      <c r="B19" s="9" t="s">
        <v>401</v>
      </c>
      <c r="C19" s="9" t="str">
        <f t="shared" si="0"/>
        <v>https://x.com/lazulite0721</v>
      </c>
      <c r="D19" s="10">
        <v>45352</v>
      </c>
      <c r="E19" s="24" t="str">
        <f t="shared" ca="1" si="1"/>
        <v>0年3ヵ月</v>
      </c>
      <c r="F19" s="11"/>
      <c r="G19" s="12" t="s">
        <v>400</v>
      </c>
      <c r="H19" s="9" t="str">
        <f t="shared" si="2"/>
        <v>https://scratch.mit.edu/users/hunahunamelonn/</v>
      </c>
      <c r="I19" s="14">
        <v>1</v>
      </c>
      <c r="J19" s="9" t="s">
        <v>413</v>
      </c>
      <c r="K19" s="13" t="str">
        <f t="shared" si="3"/>
        <v>2023/03/06</v>
      </c>
      <c r="L19" s="24" t="str">
        <f t="shared" ca="1" si="4"/>
        <v>1年3ヵ月0日</v>
      </c>
      <c r="M19" s="9"/>
    </row>
    <row r="20" spans="1:13" x14ac:dyDescent="0.4">
      <c r="A20" s="9" t="s">
        <v>546</v>
      </c>
      <c r="B20" s="9" t="s">
        <v>547</v>
      </c>
      <c r="C20" s="9" t="str">
        <f t="shared" si="0"/>
        <v>https://x.com/Lua_yoghurt_oO</v>
      </c>
      <c r="D20" s="10">
        <v>44986</v>
      </c>
      <c r="E20" s="14" t="str">
        <f t="shared" ca="1" si="1"/>
        <v>1年3ヵ月</v>
      </c>
      <c r="F20" s="11"/>
      <c r="G20" s="12" t="s">
        <v>548</v>
      </c>
      <c r="H20" s="9" t="str">
        <f t="shared" si="2"/>
        <v>https://scratch.mit.edu/users/Mitsuba-38/</v>
      </c>
      <c r="I20" s="14">
        <v>1</v>
      </c>
      <c r="J20" s="9" t="s">
        <v>413</v>
      </c>
      <c r="K20" s="13" t="str">
        <f t="shared" si="3"/>
        <v>2022/07/08</v>
      </c>
      <c r="L20" s="24" t="str">
        <f t="shared" ca="1" si="4"/>
        <v>1年10ヵ月29日</v>
      </c>
      <c r="M20" s="9"/>
    </row>
    <row r="21" spans="1:13" x14ac:dyDescent="0.4">
      <c r="A21" s="9" t="s">
        <v>537</v>
      </c>
      <c r="B21" s="9" t="s">
        <v>538</v>
      </c>
      <c r="C21" s="9" t="str">
        <f t="shared" si="0"/>
        <v>https://x.com/Lycka7__</v>
      </c>
      <c r="D21" s="10">
        <v>44743</v>
      </c>
      <c r="E21" s="14" t="str">
        <f t="shared" ca="1" si="1"/>
        <v>1年11ヵ月</v>
      </c>
      <c r="F21" s="11"/>
      <c r="G21" s="12" t="s">
        <v>539</v>
      </c>
      <c r="H21" s="9" t="str">
        <f t="shared" si="2"/>
        <v>https://scratch.mit.edu/users/-Lycka-/</v>
      </c>
      <c r="I21" s="14">
        <v>1</v>
      </c>
      <c r="J21" s="9" t="s">
        <v>413</v>
      </c>
      <c r="K21" s="13" t="str">
        <f t="shared" si="3"/>
        <v>2021/05/25</v>
      </c>
      <c r="L21" s="24" t="str">
        <f t="shared" ca="1" si="4"/>
        <v>3年0ヵ月12日</v>
      </c>
      <c r="M21" s="9"/>
    </row>
    <row r="22" spans="1:13" x14ac:dyDescent="0.4">
      <c r="A22" s="9" t="s">
        <v>207</v>
      </c>
      <c r="B22" s="9" t="s">
        <v>208</v>
      </c>
      <c r="C22" s="9" t="str">
        <f t="shared" si="0"/>
        <v>https://x.com/m_B_____R</v>
      </c>
      <c r="D22" s="10">
        <v>45139</v>
      </c>
      <c r="E22" s="24" t="str">
        <f t="shared" ca="1" si="1"/>
        <v>0年10ヵ月</v>
      </c>
      <c r="F22" s="11"/>
      <c r="G22" s="12" t="s">
        <v>307</v>
      </c>
      <c r="H22" s="9" t="str">
        <f t="shared" si="2"/>
        <v>https://scratch.mit.edu/users/cixL-/</v>
      </c>
      <c r="I22" s="14">
        <v>1</v>
      </c>
      <c r="J22" s="9" t="s">
        <v>413</v>
      </c>
      <c r="K22" s="13" t="str">
        <f t="shared" si="3"/>
        <v>2024/01/22</v>
      </c>
      <c r="L22" s="24" t="str">
        <f t="shared" ca="1" si="4"/>
        <v>0年4ヵ月15日</v>
      </c>
      <c r="M22" s="9"/>
    </row>
    <row r="23" spans="1:13" x14ac:dyDescent="0.4">
      <c r="A23" s="9" t="s">
        <v>210</v>
      </c>
      <c r="B23" s="9" t="s">
        <v>211</v>
      </c>
      <c r="C23" s="9" t="str">
        <f t="shared" si="0"/>
        <v>https://x.com/manupuri_YOUKYA</v>
      </c>
      <c r="D23" s="10">
        <v>44652</v>
      </c>
      <c r="E23" s="24" t="str">
        <f t="shared" ca="1" si="1"/>
        <v>2年2ヵ月</v>
      </c>
      <c r="F23" s="11"/>
      <c r="G23" s="12" t="s">
        <v>309</v>
      </c>
      <c r="H23" s="9" t="str">
        <f t="shared" si="2"/>
        <v>https://scratch.mit.edu/users/manupuri_moemoe/</v>
      </c>
      <c r="I23" s="14">
        <v>1</v>
      </c>
      <c r="J23" s="9" t="s">
        <v>413</v>
      </c>
      <c r="K23" s="13" t="str">
        <f t="shared" si="3"/>
        <v>2023/06/06</v>
      </c>
      <c r="L23" s="24" t="str">
        <f t="shared" ca="1" si="4"/>
        <v>1年0ヵ月0日</v>
      </c>
      <c r="M23" s="9"/>
    </row>
    <row r="24" spans="1:13" x14ac:dyDescent="0.4">
      <c r="A24" s="9" t="s">
        <v>219</v>
      </c>
      <c r="B24" s="9" t="s">
        <v>441</v>
      </c>
      <c r="C24" s="9" t="str">
        <f t="shared" si="0"/>
        <v>https://x.com/meyama0901</v>
      </c>
      <c r="D24" s="10">
        <v>44470</v>
      </c>
      <c r="E24" s="24" t="str">
        <f t="shared" ca="1" si="1"/>
        <v>2年8ヵ月</v>
      </c>
      <c r="F24" s="11"/>
      <c r="G24" s="12" t="s">
        <v>313</v>
      </c>
      <c r="H24" s="9" t="str">
        <f t="shared" si="2"/>
        <v>https://scratch.mit.edu/users/medatyan/</v>
      </c>
      <c r="I24" s="14">
        <v>1</v>
      </c>
      <c r="J24" s="9" t="s">
        <v>413</v>
      </c>
      <c r="K24" s="13" t="str">
        <f t="shared" si="3"/>
        <v>2022/11/12</v>
      </c>
      <c r="L24" s="24" t="str">
        <f t="shared" ca="1" si="4"/>
        <v>1年6ヵ月25日</v>
      </c>
      <c r="M24" s="9"/>
    </row>
    <row r="25" spans="1:13" x14ac:dyDescent="0.4">
      <c r="A25" s="9" t="s">
        <v>549</v>
      </c>
      <c r="B25" s="9" t="s">
        <v>550</v>
      </c>
      <c r="C25" s="9" t="str">
        <f t="shared" si="0"/>
        <v>https://x.com/mit_toka</v>
      </c>
      <c r="D25" s="10">
        <v>45017</v>
      </c>
      <c r="E25" s="14" t="str">
        <f t="shared" ca="1" si="1"/>
        <v>1年2ヵ月</v>
      </c>
      <c r="F25" s="11"/>
      <c r="G25" s="12" t="s">
        <v>551</v>
      </c>
      <c r="H25" s="9" t="str">
        <f t="shared" si="2"/>
        <v>https://scratch.mit.edu/users/_372/</v>
      </c>
      <c r="I25" s="14">
        <v>1</v>
      </c>
      <c r="J25" s="9" t="s">
        <v>413</v>
      </c>
      <c r="K25" s="13" t="str">
        <f t="shared" si="3"/>
        <v>2022/05/21</v>
      </c>
      <c r="L25" s="24" t="str">
        <f t="shared" ca="1" si="4"/>
        <v>2年0ヵ月16日</v>
      </c>
      <c r="M25" s="9"/>
    </row>
    <row r="26" spans="1:13" x14ac:dyDescent="0.4">
      <c r="A26" s="9" t="s">
        <v>386</v>
      </c>
      <c r="B26" s="9" t="s">
        <v>387</v>
      </c>
      <c r="C26" s="9" t="str">
        <f t="shared" si="0"/>
        <v>https://x.com/mu_ran_ai</v>
      </c>
      <c r="D26" s="10">
        <v>45047</v>
      </c>
      <c r="E26" s="24" t="str">
        <f t="shared" ca="1" si="1"/>
        <v>1年1ヵ月</v>
      </c>
      <c r="F26" s="11"/>
      <c r="G26" s="12" t="s">
        <v>388</v>
      </c>
      <c r="H26" s="9" t="str">
        <f t="shared" si="2"/>
        <v>https://scratch.mit.edu/users/muran-ai/</v>
      </c>
      <c r="I26" s="14">
        <v>1</v>
      </c>
      <c r="J26" s="9" t="s">
        <v>413</v>
      </c>
      <c r="K26" s="13" t="str">
        <f t="shared" si="3"/>
        <v>2022/08/03</v>
      </c>
      <c r="L26" s="24" t="str">
        <f t="shared" ca="1" si="4"/>
        <v>1年10ヵ月3日</v>
      </c>
      <c r="M26" s="9"/>
    </row>
    <row r="27" spans="1:13" x14ac:dyDescent="0.4">
      <c r="A27" s="9" t="s">
        <v>402</v>
      </c>
      <c r="B27" s="9" t="s">
        <v>403</v>
      </c>
      <c r="C27" s="9" t="str">
        <f t="shared" si="0"/>
        <v>https://x.com/muhuu_712</v>
      </c>
      <c r="D27" s="10">
        <v>45292</v>
      </c>
      <c r="E27" s="24" t="str">
        <f t="shared" ca="1" si="1"/>
        <v>0年5ヵ月</v>
      </c>
      <c r="F27" s="11"/>
      <c r="G27" s="12" t="s">
        <v>404</v>
      </c>
      <c r="H27" s="9" t="str">
        <f t="shared" si="2"/>
        <v>https://scratch.mit.edu/users/muhuu712/</v>
      </c>
      <c r="I27" s="14">
        <v>1</v>
      </c>
      <c r="J27" s="9" t="s">
        <v>413</v>
      </c>
      <c r="K27" s="13" t="str">
        <f t="shared" si="3"/>
        <v>2023/09/28</v>
      </c>
      <c r="L27" s="24" t="str">
        <f t="shared" ca="1" si="4"/>
        <v>0年8ヵ月9日</v>
      </c>
      <c r="M27" s="9"/>
    </row>
    <row r="28" spans="1:13" x14ac:dyDescent="0.4">
      <c r="A28" s="9" t="s">
        <v>376</v>
      </c>
      <c r="B28" s="9" t="s">
        <v>366</v>
      </c>
      <c r="C28" s="9" t="str">
        <f t="shared" si="0"/>
        <v>https://x.com/Negimaro031</v>
      </c>
      <c r="D28" s="10">
        <v>45047</v>
      </c>
      <c r="E28" s="24" t="str">
        <f t="shared" ca="1" si="1"/>
        <v>1年1ヵ月</v>
      </c>
      <c r="F28" s="11"/>
      <c r="G28" s="12" t="s">
        <v>367</v>
      </c>
      <c r="H28" s="9" t="str">
        <f t="shared" si="2"/>
        <v>https://scratch.mit.edu/users/negimaro0312/</v>
      </c>
      <c r="I28" s="14">
        <v>1</v>
      </c>
      <c r="J28" s="9" t="s">
        <v>413</v>
      </c>
      <c r="K28" s="13" t="str">
        <f t="shared" si="3"/>
        <v>2023/10/01</v>
      </c>
      <c r="L28" s="24" t="str">
        <f t="shared" ca="1" si="4"/>
        <v>0年8ヵ月5日</v>
      </c>
      <c r="M28" s="9"/>
    </row>
    <row r="29" spans="1:13" x14ac:dyDescent="0.4">
      <c r="A29" s="9" t="s">
        <v>233</v>
      </c>
      <c r="B29" s="9" t="s">
        <v>234</v>
      </c>
      <c r="C29" s="9" t="str">
        <f t="shared" si="0"/>
        <v>https://x.com/nyaatori</v>
      </c>
      <c r="D29" s="10">
        <v>45108</v>
      </c>
      <c r="E29" s="24" t="str">
        <f t="shared" ca="1" si="1"/>
        <v>0年11ヵ月</v>
      </c>
      <c r="F29" s="11"/>
      <c r="G29" s="12" t="s">
        <v>319</v>
      </c>
      <c r="H29" s="9" t="str">
        <f t="shared" si="2"/>
        <v>https://scratch.mit.edu/users/kasutori/</v>
      </c>
      <c r="I29" s="14">
        <v>1</v>
      </c>
      <c r="J29" s="9" t="s">
        <v>413</v>
      </c>
      <c r="K29" s="13" t="str">
        <f t="shared" si="3"/>
        <v>2023/12/26</v>
      </c>
      <c r="L29" s="24" t="str">
        <f t="shared" ca="1" si="4"/>
        <v>0年5ヵ月11日</v>
      </c>
      <c r="M29" s="9"/>
    </row>
    <row r="30" spans="1:13" x14ac:dyDescent="0.4">
      <c r="A30" s="9" t="s">
        <v>454</v>
      </c>
      <c r="B30" s="9" t="s">
        <v>455</v>
      </c>
      <c r="C30" s="9" t="str">
        <f t="shared" si="0"/>
        <v>https://x.com/NyancoAnime</v>
      </c>
      <c r="D30" s="10">
        <v>45413</v>
      </c>
      <c r="E30" s="14" t="str">
        <f t="shared" ca="1" si="1"/>
        <v>0年1ヵ月</v>
      </c>
      <c r="F30" s="11"/>
      <c r="G30" s="12" t="s">
        <v>456</v>
      </c>
      <c r="H30" s="9" t="str">
        <f t="shared" si="2"/>
        <v>https://scratch.mit.edu/users/nyanco-guy/</v>
      </c>
      <c r="I30" s="14">
        <v>1</v>
      </c>
      <c r="J30" s="9" t="s">
        <v>413</v>
      </c>
      <c r="K30" s="13" t="str">
        <f t="shared" si="3"/>
        <v>2018/10/27</v>
      </c>
      <c r="L30" s="24" t="str">
        <f t="shared" ca="1" si="4"/>
        <v>5年7ヵ月10日</v>
      </c>
      <c r="M30" s="9"/>
    </row>
    <row r="31" spans="1:13" x14ac:dyDescent="0.4">
      <c r="A31" s="9" t="s">
        <v>55</v>
      </c>
      <c r="B31" s="9" t="s">
        <v>450</v>
      </c>
      <c r="C31" s="9" t="str">
        <f t="shared" si="0"/>
        <v>https://x.com/Paint8Q</v>
      </c>
      <c r="D31" s="10">
        <v>45139</v>
      </c>
      <c r="E31" s="24" t="str">
        <f t="shared" ca="1" si="1"/>
        <v>0年10ヵ月</v>
      </c>
      <c r="F31" s="11"/>
      <c r="G31" s="12" t="s">
        <v>54</v>
      </c>
      <c r="H31" s="9" t="str">
        <f t="shared" si="2"/>
        <v>https://scratch.mit.edu/users/Srain3/</v>
      </c>
      <c r="I31" s="14">
        <v>1</v>
      </c>
      <c r="J31" s="9" t="s">
        <v>413</v>
      </c>
      <c r="K31" s="13" t="str">
        <f t="shared" si="3"/>
        <v>2024/01/11</v>
      </c>
      <c r="L31" s="24" t="str">
        <f t="shared" ca="1" si="4"/>
        <v>0年4ヵ月26日</v>
      </c>
      <c r="M31" s="9"/>
    </row>
    <row r="32" spans="1:13" x14ac:dyDescent="0.4">
      <c r="A32" s="9" t="s">
        <v>244</v>
      </c>
      <c r="B32" s="9" t="s">
        <v>245</v>
      </c>
      <c r="C32" s="9" t="str">
        <f t="shared" si="0"/>
        <v>https://x.com/RKTSCA</v>
      </c>
      <c r="D32" s="10">
        <v>44378</v>
      </c>
      <c r="E32" s="24" t="str">
        <f t="shared" ca="1" si="1"/>
        <v>2年11ヵ月</v>
      </c>
      <c r="F32" s="11"/>
      <c r="G32" s="12" t="s">
        <v>324</v>
      </c>
      <c r="H32" s="9" t="str">
        <f t="shared" si="2"/>
        <v>https://scratch.mit.edu/users/ScarletFX/</v>
      </c>
      <c r="I32" s="14">
        <v>1</v>
      </c>
      <c r="J32" s="9" t="s">
        <v>413</v>
      </c>
      <c r="K32" s="13" t="str">
        <f t="shared" si="3"/>
        <v>2022/03/05</v>
      </c>
      <c r="L32" s="24" t="str">
        <f t="shared" ca="1" si="4"/>
        <v>2年3ヵ月1日</v>
      </c>
      <c r="M32" s="9"/>
    </row>
    <row r="33" spans="1:13" x14ac:dyDescent="0.4">
      <c r="A33" s="9" t="s">
        <v>373</v>
      </c>
      <c r="B33" s="9" t="s">
        <v>351</v>
      </c>
      <c r="C33" s="9" t="str">
        <f t="shared" si="0"/>
        <v>https://x.com/roa_inu</v>
      </c>
      <c r="D33" s="10">
        <v>44682</v>
      </c>
      <c r="E33" s="24" t="str">
        <f t="shared" ca="1" si="1"/>
        <v>2年1ヵ月</v>
      </c>
      <c r="F33" s="11"/>
      <c r="G33" s="12" t="s">
        <v>352</v>
      </c>
      <c r="H33" s="9" t="str">
        <f t="shared" si="2"/>
        <v>https://scratch.mit.edu/users/roainu/</v>
      </c>
      <c r="I33" s="14">
        <v>1</v>
      </c>
      <c r="J33" s="9" t="s">
        <v>413</v>
      </c>
      <c r="K33" s="13" t="str">
        <f t="shared" si="3"/>
        <v>2022/12/09</v>
      </c>
      <c r="L33" s="24" t="str">
        <f t="shared" ca="1" si="4"/>
        <v>1年5ヵ月28日</v>
      </c>
      <c r="M33" s="9"/>
    </row>
    <row r="34" spans="1:13" x14ac:dyDescent="0.4">
      <c r="A34" s="9" t="s">
        <v>372</v>
      </c>
      <c r="B34" s="9" t="s">
        <v>349</v>
      </c>
      <c r="C34" s="9" t="str">
        <f t="shared" si="0"/>
        <v>https://x.com/Saltmackerel17</v>
      </c>
      <c r="D34" s="10">
        <v>43770</v>
      </c>
      <c r="E34" s="24" t="str">
        <f t="shared" ca="1" si="1"/>
        <v>4年7ヵ月</v>
      </c>
      <c r="F34" s="11" t="s">
        <v>11</v>
      </c>
      <c r="G34" s="12" t="s">
        <v>350</v>
      </c>
      <c r="H34" s="9" t="str">
        <f t="shared" si="2"/>
        <v>https://scratch.mit.edu/users/PQS2017/</v>
      </c>
      <c r="I34" s="14">
        <v>1</v>
      </c>
      <c r="J34" s="9" t="s">
        <v>413</v>
      </c>
      <c r="K34" s="13" t="str">
        <f t="shared" si="3"/>
        <v>2017/07/03</v>
      </c>
      <c r="L34" s="24" t="str">
        <f t="shared" ca="1" si="4"/>
        <v>6年11ヵ月3日</v>
      </c>
      <c r="M34" s="9"/>
    </row>
    <row r="35" spans="1:13" x14ac:dyDescent="0.4">
      <c r="A35" s="9" t="s">
        <v>370</v>
      </c>
      <c r="B35" s="9" t="s">
        <v>476</v>
      </c>
      <c r="C35" s="9" t="str">
        <f t="shared" si="0"/>
        <v>https://x.com/Shiroann_nu</v>
      </c>
      <c r="D35" s="10">
        <v>45292</v>
      </c>
      <c r="E35" s="24" t="str">
        <f t="shared" ca="1" si="1"/>
        <v>0年5ヵ月</v>
      </c>
      <c r="F35" s="11"/>
      <c r="G35" s="12" t="s">
        <v>365</v>
      </c>
      <c r="H35" s="9" t="str">
        <f t="shared" si="2"/>
        <v>https://scratch.mit.edu/users/Shiroann/</v>
      </c>
      <c r="I35" s="14">
        <v>1</v>
      </c>
      <c r="J35" s="9" t="s">
        <v>413</v>
      </c>
      <c r="K35" s="13" t="str">
        <f t="shared" si="3"/>
        <v>2023/05/10</v>
      </c>
      <c r="L35" s="24" t="str">
        <f t="shared" ca="1" si="4"/>
        <v>1年0ヵ月27日</v>
      </c>
      <c r="M35" s="9"/>
    </row>
    <row r="36" spans="1:13" x14ac:dyDescent="0.4">
      <c r="A36" s="9" t="s">
        <v>256</v>
      </c>
      <c r="B36" s="9" t="s">
        <v>257</v>
      </c>
      <c r="C36" s="9" t="str">
        <f t="shared" si="0"/>
        <v>https://x.com/suisei1166</v>
      </c>
      <c r="D36" s="10">
        <v>44986</v>
      </c>
      <c r="E36" s="24" t="str">
        <f t="shared" ca="1" si="1"/>
        <v>1年3ヵ月</v>
      </c>
      <c r="F36" s="11"/>
      <c r="G36" s="12" t="s">
        <v>329</v>
      </c>
      <c r="H36" s="9" t="str">
        <f t="shared" si="2"/>
        <v>https://scratch.mit.edu/users/ShinobuKochou/</v>
      </c>
      <c r="I36" s="14">
        <v>1</v>
      </c>
      <c r="J36" s="9" t="s">
        <v>413</v>
      </c>
      <c r="K36" s="13" t="str">
        <f t="shared" si="3"/>
        <v>2020/05/23</v>
      </c>
      <c r="L36" s="24" t="str">
        <f t="shared" ca="1" si="4"/>
        <v>4年0ヵ月14日</v>
      </c>
      <c r="M36" s="9"/>
    </row>
    <row r="37" spans="1:13" x14ac:dyDescent="0.4">
      <c r="A37" s="9" t="s">
        <v>552</v>
      </c>
      <c r="B37" s="9" t="s">
        <v>553</v>
      </c>
      <c r="C37" s="9" t="str">
        <f t="shared" si="0"/>
        <v>https://x.com/sz6hxTLrVs67134</v>
      </c>
      <c r="D37" s="10">
        <v>45413</v>
      </c>
      <c r="E37" s="14" t="str">
        <f t="shared" ca="1" si="1"/>
        <v>0年1ヵ月</v>
      </c>
      <c r="F37" s="11"/>
      <c r="G37" s="12" t="s">
        <v>554</v>
      </c>
      <c r="H37" s="9" t="str">
        <f t="shared" si="2"/>
        <v>https://scratch.mit.edu/users/sonononono/</v>
      </c>
      <c r="I37" s="14">
        <v>1</v>
      </c>
      <c r="J37" s="9" t="s">
        <v>413</v>
      </c>
      <c r="K37" s="13" t="str">
        <f t="shared" si="3"/>
        <v>2024/05/22</v>
      </c>
      <c r="L37" s="24" t="str">
        <f t="shared" ca="1" si="4"/>
        <v>0年0ヵ月15日</v>
      </c>
      <c r="M37" s="9"/>
    </row>
    <row r="38" spans="1:13" x14ac:dyDescent="0.4">
      <c r="A38" s="9" t="s">
        <v>33</v>
      </c>
      <c r="B38" s="9" t="s">
        <v>32</v>
      </c>
      <c r="C38" s="9" t="str">
        <f t="shared" si="0"/>
        <v>https://x.com/tomatomayo_10</v>
      </c>
      <c r="D38" s="10">
        <v>44743</v>
      </c>
      <c r="E38" s="24" t="str">
        <f t="shared" ca="1" si="1"/>
        <v>1年11ヵ月</v>
      </c>
      <c r="F38" s="11"/>
      <c r="G38" s="12" t="s">
        <v>31</v>
      </c>
      <c r="H38" s="9" t="str">
        <f t="shared" si="2"/>
        <v>https://scratch.mit.edu/users/mayo-cocon/</v>
      </c>
      <c r="I38" s="14">
        <v>1</v>
      </c>
      <c r="J38" s="9" t="s">
        <v>413</v>
      </c>
      <c r="K38" s="13" t="str">
        <f t="shared" si="3"/>
        <v>2022/10/16</v>
      </c>
      <c r="L38" s="24" t="str">
        <f t="shared" ca="1" si="4"/>
        <v>1年7ヵ月21日</v>
      </c>
      <c r="M38" s="9"/>
    </row>
    <row r="39" spans="1:13" x14ac:dyDescent="0.4">
      <c r="A39" s="9" t="s">
        <v>30</v>
      </c>
      <c r="B39" s="9" t="s">
        <v>29</v>
      </c>
      <c r="C39" s="9" t="str">
        <f t="shared" si="0"/>
        <v>https://x.com/TouTa12341234</v>
      </c>
      <c r="D39" s="10">
        <v>45139</v>
      </c>
      <c r="E39" s="24" t="str">
        <f t="shared" ca="1" si="1"/>
        <v>0年10ヵ月</v>
      </c>
      <c r="F39" s="11"/>
      <c r="G39" s="12" t="s">
        <v>28</v>
      </c>
      <c r="H39" s="9" t="str">
        <f t="shared" si="2"/>
        <v>https://scratch.mit.edu/users/-TouTa-/</v>
      </c>
      <c r="I39" s="14">
        <v>1</v>
      </c>
      <c r="J39" s="9" t="s">
        <v>413</v>
      </c>
      <c r="K39" s="13" t="str">
        <f t="shared" si="3"/>
        <v>2023/06/26</v>
      </c>
      <c r="L39" s="24" t="str">
        <f t="shared" ca="1" si="4"/>
        <v>0年11ヵ月11日</v>
      </c>
      <c r="M39" s="9"/>
    </row>
    <row r="40" spans="1:13" x14ac:dyDescent="0.4">
      <c r="A40" s="9" t="s">
        <v>264</v>
      </c>
      <c r="B40" s="9" t="s">
        <v>265</v>
      </c>
      <c r="C40" s="9" t="str">
        <f t="shared" si="0"/>
        <v>https://x.com/TUNA_521</v>
      </c>
      <c r="D40" s="10">
        <v>44409</v>
      </c>
      <c r="E40" s="24" t="str">
        <f t="shared" ca="1" si="1"/>
        <v>2年10ヵ月</v>
      </c>
      <c r="F40" s="11"/>
      <c r="G40" s="12" t="s">
        <v>332</v>
      </c>
      <c r="H40" s="9" t="str">
        <f t="shared" si="2"/>
        <v>https://scratch.mit.edu/users/TUNAKANN521/</v>
      </c>
      <c r="I40" s="14">
        <v>1</v>
      </c>
      <c r="J40" s="9" t="s">
        <v>413</v>
      </c>
      <c r="K40" s="13" t="str">
        <f t="shared" si="3"/>
        <v>2018/10/21</v>
      </c>
      <c r="L40" s="24" t="str">
        <f t="shared" ca="1" si="4"/>
        <v>5年7ヵ月16日</v>
      </c>
      <c r="M40" s="9"/>
    </row>
    <row r="41" spans="1:13" x14ac:dyDescent="0.4">
      <c r="A41" s="9" t="s">
        <v>368</v>
      </c>
      <c r="B41" s="9" t="s">
        <v>357</v>
      </c>
      <c r="C41" s="9" t="str">
        <f t="shared" si="0"/>
        <v>https://x.com/U_mokuzu</v>
      </c>
      <c r="D41" s="10">
        <v>44743</v>
      </c>
      <c r="E41" s="24" t="str">
        <f t="shared" ca="1" si="1"/>
        <v>1年11ヵ月</v>
      </c>
      <c r="F41" s="11"/>
      <c r="G41" s="12" t="s">
        <v>358</v>
      </c>
      <c r="H41" s="9" t="str">
        <f t="shared" si="2"/>
        <v>https://scratch.mit.edu/users/ayama/</v>
      </c>
      <c r="I41" s="14">
        <v>1</v>
      </c>
      <c r="J41" s="9" t="s">
        <v>413</v>
      </c>
      <c r="K41" s="13" t="str">
        <f t="shared" si="3"/>
        <v>2016/12/18</v>
      </c>
      <c r="L41" s="24" t="str">
        <f t="shared" ca="1" si="4"/>
        <v>7年5ヵ月19日</v>
      </c>
      <c r="M41" s="9"/>
    </row>
    <row r="42" spans="1:13" x14ac:dyDescent="0.4">
      <c r="A42" s="9" t="s">
        <v>266</v>
      </c>
      <c r="B42" s="9" t="s">
        <v>480</v>
      </c>
      <c r="C42" s="9" t="str">
        <f t="shared" si="0"/>
        <v>https://x.com/umiumishitake</v>
      </c>
      <c r="D42" s="10">
        <v>44197</v>
      </c>
      <c r="E42" s="24" t="str">
        <f t="shared" ca="1" si="1"/>
        <v>3年5ヵ月</v>
      </c>
      <c r="F42" s="11"/>
      <c r="G42" s="12" t="s">
        <v>333</v>
      </c>
      <c r="H42" s="9" t="str">
        <f t="shared" si="2"/>
        <v>https://scratch.mit.edu/users/uminoikimono/</v>
      </c>
      <c r="I42" s="14">
        <v>1</v>
      </c>
      <c r="J42" s="9" t="s">
        <v>413</v>
      </c>
      <c r="K42" s="13" t="str">
        <f t="shared" si="3"/>
        <v>2021/02/27</v>
      </c>
      <c r="L42" s="24" t="str">
        <f t="shared" ca="1" si="4"/>
        <v>3年3ヵ月10日</v>
      </c>
      <c r="M42" s="9"/>
    </row>
    <row r="43" spans="1:13" x14ac:dyDescent="0.4">
      <c r="A43" s="9" t="s">
        <v>22</v>
      </c>
      <c r="B43" s="9" t="s">
        <v>21</v>
      </c>
      <c r="C43" s="9" t="str">
        <f t="shared" si="0"/>
        <v>https://x.com/vallat__</v>
      </c>
      <c r="D43" s="10">
        <v>45017</v>
      </c>
      <c r="E43" s="24" t="str">
        <f t="shared" ca="1" si="1"/>
        <v>1年2ヵ月</v>
      </c>
      <c r="F43" s="11"/>
      <c r="G43" s="12" t="s">
        <v>20</v>
      </c>
      <c r="H43" s="9" t="str">
        <f t="shared" si="2"/>
        <v>https://scratch.mit.edu/users/-vallat-/</v>
      </c>
      <c r="I43" s="14">
        <v>1</v>
      </c>
      <c r="J43" s="9" t="s">
        <v>413</v>
      </c>
      <c r="K43" s="13" t="str">
        <f t="shared" si="3"/>
        <v>2023/03/29</v>
      </c>
      <c r="L43" s="24" t="str">
        <f t="shared" ca="1" si="4"/>
        <v>1年2ヵ月8日</v>
      </c>
      <c r="M43" s="9"/>
    </row>
    <row r="44" spans="1:13" x14ac:dyDescent="0.4">
      <c r="A44" s="9" t="s">
        <v>560</v>
      </c>
      <c r="B44" s="9" t="s">
        <v>561</v>
      </c>
      <c r="C44" s="9" t="str">
        <f t="shared" si="0"/>
        <v>https://x.com/vlqtz75301</v>
      </c>
      <c r="D44" s="10">
        <v>45017</v>
      </c>
      <c r="E44" s="14" t="str">
        <f t="shared" ca="1" si="1"/>
        <v>1年2ヵ月</v>
      </c>
      <c r="F44" s="11"/>
      <c r="G44" s="12" t="s">
        <v>562</v>
      </c>
      <c r="H44" s="9" t="str">
        <f t="shared" si="2"/>
        <v>https://scratch.mit.edu/users/sakuraringorururu/</v>
      </c>
      <c r="I44" s="14">
        <v>1</v>
      </c>
      <c r="J44" s="9" t="s">
        <v>413</v>
      </c>
      <c r="K44" s="13" t="str">
        <f t="shared" si="3"/>
        <v>2024/01/05</v>
      </c>
      <c r="L44" s="24" t="str">
        <f t="shared" ca="1" si="4"/>
        <v>0年5ヵ月1日</v>
      </c>
      <c r="M44" s="9"/>
    </row>
    <row r="45" spans="1:13" x14ac:dyDescent="0.4">
      <c r="A45" s="9" t="s">
        <v>582</v>
      </c>
      <c r="B45" s="9" t="s">
        <v>583</v>
      </c>
      <c r="C45" s="9" t="str">
        <f t="shared" si="0"/>
        <v>https://x.com/Vv_ReZ_vV</v>
      </c>
      <c r="D45" s="10">
        <v>44652</v>
      </c>
      <c r="E45" s="14" t="str">
        <f t="shared" ca="1" si="1"/>
        <v>2年2ヵ月</v>
      </c>
      <c r="F45" s="11"/>
      <c r="G45" s="12" t="s">
        <v>584</v>
      </c>
      <c r="H45" s="9" t="str">
        <f t="shared" si="2"/>
        <v>https://scratch.mit.edu/users/MU-CHAN1008gbt_773/</v>
      </c>
      <c r="I45" s="14">
        <v>1</v>
      </c>
      <c r="J45" s="9" t="s">
        <v>413</v>
      </c>
      <c r="K45" s="13" t="str">
        <f t="shared" si="3"/>
        <v>2021/11/30</v>
      </c>
      <c r="L45" s="24" t="str">
        <f t="shared" ca="1" si="4"/>
        <v>2年6ヵ月7日</v>
      </c>
      <c r="M45" s="9"/>
    </row>
    <row r="46" spans="1:13" x14ac:dyDescent="0.4">
      <c r="A46" s="9" t="s">
        <v>271</v>
      </c>
      <c r="B46" s="9" t="s">
        <v>481</v>
      </c>
      <c r="C46" s="9" t="str">
        <f t="shared" si="0"/>
        <v>https://x.com/x____xuu__</v>
      </c>
      <c r="D46" s="10">
        <v>44896</v>
      </c>
      <c r="E46" s="24" t="str">
        <f t="shared" ca="1" si="1"/>
        <v>1年6ヵ月</v>
      </c>
      <c r="F46" s="11"/>
      <c r="G46" s="12" t="s">
        <v>336</v>
      </c>
      <c r="H46" s="9" t="str">
        <f t="shared" si="2"/>
        <v>https://scratch.mit.edu/users/ikuradonburi/</v>
      </c>
      <c r="I46" s="14">
        <v>1</v>
      </c>
      <c r="J46" s="9" t="s">
        <v>413</v>
      </c>
      <c r="K46" s="13" t="str">
        <f t="shared" si="3"/>
        <v>2022/02/27</v>
      </c>
      <c r="L46" s="24" t="str">
        <f t="shared" ca="1" si="4"/>
        <v>2年3ヵ月10日</v>
      </c>
      <c r="M46" s="9"/>
    </row>
    <row r="47" spans="1:13" x14ac:dyDescent="0.4">
      <c r="A47" s="9" t="s">
        <v>274</v>
      </c>
      <c r="B47" s="9" t="s">
        <v>275</v>
      </c>
      <c r="C47" s="9" t="str">
        <f t="shared" si="0"/>
        <v>https://x.com/zelveria</v>
      </c>
      <c r="D47" s="10">
        <v>45078</v>
      </c>
      <c r="E47" s="24" t="str">
        <f t="shared" ca="1" si="1"/>
        <v>1年0ヵ月</v>
      </c>
      <c r="F47" s="11"/>
      <c r="G47" s="12" t="s">
        <v>275</v>
      </c>
      <c r="H47" s="9" t="str">
        <f t="shared" si="2"/>
        <v>https://scratch.mit.edu/users/Zelria/</v>
      </c>
      <c r="I47" s="14">
        <v>1</v>
      </c>
      <c r="J47" s="9" t="s">
        <v>413</v>
      </c>
      <c r="K47" s="13" t="str">
        <f t="shared" si="3"/>
        <v>2022/08/08</v>
      </c>
      <c r="L47" s="24" t="str">
        <f t="shared" ca="1" si="4"/>
        <v>1年9ヵ月29日</v>
      </c>
      <c r="M47" s="9"/>
    </row>
    <row r="48" spans="1:13" x14ac:dyDescent="0.4">
      <c r="A48" s="9" t="s">
        <v>149</v>
      </c>
      <c r="B48" s="9" t="s">
        <v>150</v>
      </c>
      <c r="C48" s="9" t="str">
        <f t="shared" si="0"/>
        <v>https://x.com/_Pon12345_</v>
      </c>
      <c r="D48" s="10">
        <v>44621</v>
      </c>
      <c r="E48" s="24" t="str">
        <f t="shared" ca="1" si="1"/>
        <v>2年3ヵ月</v>
      </c>
      <c r="F48" s="11"/>
      <c r="G48" s="12" t="s">
        <v>278</v>
      </c>
      <c r="H48" s="9" t="str">
        <f t="shared" si="2"/>
        <v>https://scratch.mit.edu/users/Pon0228/</v>
      </c>
      <c r="I48" s="14">
        <v>2</v>
      </c>
      <c r="J48" s="9" t="s">
        <v>416</v>
      </c>
      <c r="K48" s="13" t="str">
        <f t="shared" si="3"/>
        <v>2018/08/26</v>
      </c>
      <c r="L48" s="24" t="str">
        <f t="shared" ca="1" si="4"/>
        <v>5年9ヵ月11日</v>
      </c>
      <c r="M48" s="9"/>
    </row>
    <row r="49" spans="1:13" x14ac:dyDescent="0.4">
      <c r="A49" s="9" t="s">
        <v>151</v>
      </c>
      <c r="B49" s="9" t="s">
        <v>152</v>
      </c>
      <c r="C49" s="9" t="str">
        <f t="shared" si="0"/>
        <v>https://x.com/114423_it</v>
      </c>
      <c r="D49" s="10">
        <v>44743</v>
      </c>
      <c r="E49" s="24" t="str">
        <f t="shared" ca="1" si="1"/>
        <v>1年11ヵ月</v>
      </c>
      <c r="F49" s="11"/>
      <c r="G49" s="12" t="s">
        <v>279</v>
      </c>
      <c r="H49" s="9" t="str">
        <f t="shared" si="2"/>
        <v>https://scratch.mit.edu/users/114423/</v>
      </c>
      <c r="I49" s="14">
        <v>2</v>
      </c>
      <c r="J49" s="9" t="s">
        <v>416</v>
      </c>
      <c r="K49" s="13" t="str">
        <f t="shared" si="3"/>
        <v>2018/11/24</v>
      </c>
      <c r="L49" s="24" t="str">
        <f t="shared" ca="1" si="4"/>
        <v>5年6ヵ月13日</v>
      </c>
      <c r="M49" s="9"/>
    </row>
    <row r="50" spans="1:13" x14ac:dyDescent="0.4">
      <c r="A50" s="9" t="s">
        <v>433</v>
      </c>
      <c r="B50" s="9" t="s">
        <v>434</v>
      </c>
      <c r="C50" s="9" t="str">
        <f t="shared" si="0"/>
        <v>https://x.com/andmanju_</v>
      </c>
      <c r="D50" s="10">
        <v>45323</v>
      </c>
      <c r="E50" s="14" t="str">
        <f t="shared" ca="1" si="1"/>
        <v>0年4ヵ月</v>
      </c>
      <c r="F50" s="11"/>
      <c r="G50" s="12" t="s">
        <v>435</v>
      </c>
      <c r="H50" s="9" t="str">
        <f t="shared" si="2"/>
        <v>https://scratch.mit.edu/users/andmanju/</v>
      </c>
      <c r="I50" s="14">
        <v>2</v>
      </c>
      <c r="J50" s="9" t="s">
        <v>416</v>
      </c>
      <c r="K50" s="13" t="str">
        <f t="shared" si="3"/>
        <v>2018/10/18</v>
      </c>
      <c r="L50" s="24" t="str">
        <f t="shared" ca="1" si="4"/>
        <v>5年7ヵ月19日</v>
      </c>
      <c r="M50" s="9"/>
    </row>
    <row r="51" spans="1:13" x14ac:dyDescent="0.4">
      <c r="A51" s="9" t="s">
        <v>166</v>
      </c>
      <c r="B51" s="9" t="s">
        <v>167</v>
      </c>
      <c r="C51" s="9" t="str">
        <f t="shared" si="0"/>
        <v>https://x.com/donakou_scrt</v>
      </c>
      <c r="D51" s="10">
        <v>44013</v>
      </c>
      <c r="E51" s="24" t="str">
        <f t="shared" ca="1" si="1"/>
        <v>3年11ヵ月</v>
      </c>
      <c r="F51" s="11"/>
      <c r="G51" s="12" t="s">
        <v>167</v>
      </c>
      <c r="H51" s="9" t="str">
        <f t="shared" si="2"/>
        <v>https://scratch.mit.edu/users/donakou/</v>
      </c>
      <c r="I51" s="14">
        <v>2</v>
      </c>
      <c r="J51" s="9" t="s">
        <v>416</v>
      </c>
      <c r="K51" s="13" t="str">
        <f t="shared" si="3"/>
        <v>2017/08/22</v>
      </c>
      <c r="L51" s="24" t="str">
        <f t="shared" ca="1" si="4"/>
        <v>6年9ヵ月15日</v>
      </c>
      <c r="M51" s="9"/>
    </row>
    <row r="52" spans="1:13" x14ac:dyDescent="0.4">
      <c r="A52" s="9" t="s">
        <v>172</v>
      </c>
      <c r="B52" s="9" t="s">
        <v>144</v>
      </c>
      <c r="C52" s="9" t="str">
        <f t="shared" si="0"/>
        <v>https://x.com/Dotoe_chan</v>
      </c>
      <c r="D52" s="10">
        <v>44075</v>
      </c>
      <c r="E52" s="24" t="str">
        <f t="shared" ca="1" si="1"/>
        <v>3年9ヵ月</v>
      </c>
      <c r="F52" s="11"/>
      <c r="G52" s="12" t="s">
        <v>144</v>
      </c>
      <c r="H52" s="9" t="str">
        <f t="shared" si="2"/>
        <v>https://scratch.mit.edu/users/Dotoe/</v>
      </c>
      <c r="I52" s="14">
        <v>2</v>
      </c>
      <c r="J52" s="9" t="s">
        <v>416</v>
      </c>
      <c r="K52" s="13" t="str">
        <f t="shared" si="3"/>
        <v>2020/07/23</v>
      </c>
      <c r="L52" s="24" t="str">
        <f t="shared" ca="1" si="4"/>
        <v>3年10ヵ月14日</v>
      </c>
      <c r="M52" s="9"/>
    </row>
    <row r="53" spans="1:13" x14ac:dyDescent="0.4">
      <c r="A53" s="9" t="s">
        <v>523</v>
      </c>
      <c r="B53" s="9" t="s">
        <v>524</v>
      </c>
      <c r="C53" s="9" t="str">
        <f t="shared" si="0"/>
        <v>https://x.com/kashiwaa_</v>
      </c>
      <c r="D53" s="10">
        <v>45323</v>
      </c>
      <c r="E53" s="14" t="str">
        <f t="shared" ca="1" si="1"/>
        <v>0年4ヵ月</v>
      </c>
      <c r="F53" s="11"/>
      <c r="G53" s="12" t="s">
        <v>525</v>
      </c>
      <c r="H53" s="9" t="str">
        <f t="shared" si="2"/>
        <v>https://scratch.mit.edu/users/-_kashiwa_-/</v>
      </c>
      <c r="I53" s="14">
        <v>2</v>
      </c>
      <c r="J53" s="9" t="s">
        <v>416</v>
      </c>
      <c r="K53" s="13" t="str">
        <f t="shared" si="3"/>
        <v>2023/10/25</v>
      </c>
      <c r="L53" s="24" t="str">
        <f t="shared" ca="1" si="4"/>
        <v>0年7ヵ月12日</v>
      </c>
      <c r="M53" s="9"/>
    </row>
    <row r="54" spans="1:13" x14ac:dyDescent="0.4">
      <c r="A54" s="9" t="s">
        <v>197</v>
      </c>
      <c r="B54" s="9" t="s">
        <v>198</v>
      </c>
      <c r="C54" s="9" t="str">
        <f t="shared" si="0"/>
        <v>https://x.com/katsuo_scratch_</v>
      </c>
      <c r="D54" s="10">
        <v>44896</v>
      </c>
      <c r="E54" s="24" t="str">
        <f t="shared" ca="1" si="1"/>
        <v>1年6ヵ月</v>
      </c>
      <c r="F54" s="11"/>
      <c r="G54" s="12" t="s">
        <v>303</v>
      </c>
      <c r="H54" s="9" t="str">
        <f t="shared" si="2"/>
        <v>https://scratch.mit.edu/users/katsuo777/</v>
      </c>
      <c r="I54" s="14">
        <v>2</v>
      </c>
      <c r="J54" s="9" t="s">
        <v>416</v>
      </c>
      <c r="K54" s="13" t="str">
        <f t="shared" si="3"/>
        <v>2021/07/05</v>
      </c>
      <c r="L54" s="24" t="str">
        <f t="shared" ca="1" si="4"/>
        <v>2年11ヵ月1日</v>
      </c>
      <c r="M54" s="9"/>
    </row>
    <row r="55" spans="1:13" x14ac:dyDescent="0.4">
      <c r="A55" s="9" t="s">
        <v>231</v>
      </c>
      <c r="B55" s="9" t="s">
        <v>232</v>
      </c>
      <c r="C55" s="9" t="str">
        <f t="shared" si="0"/>
        <v>https://x.com/nimda</v>
      </c>
      <c r="D55" s="10">
        <v>39173</v>
      </c>
      <c r="E55" s="24" t="str">
        <f t="shared" ca="1" si="1"/>
        <v>17年2ヵ月</v>
      </c>
      <c r="F55" s="11"/>
      <c r="G55" s="12" t="s">
        <v>318</v>
      </c>
      <c r="H55" s="9" t="str">
        <f t="shared" si="2"/>
        <v>https://scratch.mit.edu/users/pandakun/</v>
      </c>
      <c r="I55" s="14">
        <v>2</v>
      </c>
      <c r="J55" s="9" t="s">
        <v>416</v>
      </c>
      <c r="K55" s="13" t="str">
        <f t="shared" si="3"/>
        <v>2016/04/26</v>
      </c>
      <c r="L55" s="24" t="str">
        <f t="shared" ca="1" si="4"/>
        <v>8年1ヵ月11日</v>
      </c>
      <c r="M55" s="9"/>
    </row>
    <row r="56" spans="1:13" x14ac:dyDescent="0.4">
      <c r="A56" s="9" t="s">
        <v>49</v>
      </c>
      <c r="B56" s="9" t="s">
        <v>50</v>
      </c>
      <c r="C56" s="9" t="str">
        <f t="shared" si="0"/>
        <v>https://x.com/Poteto143</v>
      </c>
      <c r="D56" s="10">
        <v>42979</v>
      </c>
      <c r="E56" s="24" t="str">
        <f t="shared" ca="1" si="1"/>
        <v>6年9ヵ月</v>
      </c>
      <c r="F56" s="11" t="s">
        <v>11</v>
      </c>
      <c r="G56" s="12" t="s">
        <v>49</v>
      </c>
      <c r="H56" s="9" t="str">
        <f t="shared" si="2"/>
        <v>https://scratch.mit.edu/users/Poteto143/</v>
      </c>
      <c r="I56" s="14">
        <v>2</v>
      </c>
      <c r="J56" s="9" t="s">
        <v>416</v>
      </c>
      <c r="K56" s="13" t="str">
        <f t="shared" si="3"/>
        <v>2017/06/22</v>
      </c>
      <c r="L56" s="24" t="str">
        <f t="shared" ca="1" si="4"/>
        <v>6年11ヵ月15日</v>
      </c>
      <c r="M56" s="9"/>
    </row>
    <row r="57" spans="1:13" x14ac:dyDescent="0.4">
      <c r="A57" s="9" t="s">
        <v>501</v>
      </c>
      <c r="B57" s="9" t="s">
        <v>502</v>
      </c>
      <c r="C57" s="9" t="str">
        <f t="shared" si="0"/>
        <v>https://x.com/Remu_tv</v>
      </c>
      <c r="D57" s="10">
        <v>45139</v>
      </c>
      <c r="E57" s="14" t="str">
        <f t="shared" ca="1" si="1"/>
        <v>0年10ヵ月</v>
      </c>
      <c r="F57" s="11"/>
      <c r="G57" s="12" t="s">
        <v>503</v>
      </c>
      <c r="H57" s="9" t="str">
        <f t="shared" si="2"/>
        <v>https://scratch.mit.edu/users/kksm-y/</v>
      </c>
      <c r="I57" s="14">
        <v>2</v>
      </c>
      <c r="J57" s="9" t="s">
        <v>416</v>
      </c>
      <c r="K57" s="13" t="str">
        <f t="shared" si="3"/>
        <v>2021/12/12</v>
      </c>
      <c r="L57" s="24" t="str">
        <f t="shared" ca="1" si="4"/>
        <v>2年5ヵ月25日</v>
      </c>
      <c r="M57" s="9"/>
    </row>
    <row r="58" spans="1:13" x14ac:dyDescent="0.4">
      <c r="A58" s="9" t="s">
        <v>24</v>
      </c>
      <c r="B58" s="9" t="s">
        <v>479</v>
      </c>
      <c r="C58" s="9" t="str">
        <f t="shared" si="0"/>
        <v>https://x.com/umeringo_2go</v>
      </c>
      <c r="D58" s="10">
        <v>44531</v>
      </c>
      <c r="E58" s="24" t="str">
        <f t="shared" ca="1" si="1"/>
        <v>2年6ヵ月</v>
      </c>
      <c r="F58" s="11"/>
      <c r="G58" s="12" t="s">
        <v>23</v>
      </c>
      <c r="H58" s="9" t="str">
        <f t="shared" si="2"/>
        <v>https://scratch.mit.edu/users/ringo2go/</v>
      </c>
      <c r="I58" s="14">
        <v>2</v>
      </c>
      <c r="J58" s="9" t="s">
        <v>416</v>
      </c>
      <c r="K58" s="13" t="str">
        <f t="shared" si="3"/>
        <v>2015/08/23</v>
      </c>
      <c r="L58" s="24" t="str">
        <f t="shared" ca="1" si="4"/>
        <v>8年9ヵ月14日</v>
      </c>
      <c r="M58" s="9"/>
    </row>
    <row r="59" spans="1:13" x14ac:dyDescent="0.4">
      <c r="A59" s="9" t="s">
        <v>267</v>
      </c>
      <c r="B59" s="9" t="s">
        <v>268</v>
      </c>
      <c r="C59" s="9" t="str">
        <f t="shared" si="0"/>
        <v>https://x.com/UXRCF_sc</v>
      </c>
      <c r="D59" s="10">
        <v>44682</v>
      </c>
      <c r="E59" s="24" t="str">
        <f t="shared" ca="1" si="1"/>
        <v>2年1ヵ月</v>
      </c>
      <c r="F59" s="11"/>
      <c r="G59" s="12" t="s">
        <v>334</v>
      </c>
      <c r="H59" s="9" t="str">
        <f t="shared" si="2"/>
        <v>https://scratch.mit.edu/users/UXRCF/</v>
      </c>
      <c r="I59" s="14">
        <v>2</v>
      </c>
      <c r="J59" s="9" t="s">
        <v>416</v>
      </c>
      <c r="K59" s="13" t="str">
        <f t="shared" si="3"/>
        <v>2020/05/09</v>
      </c>
      <c r="L59" s="24" t="str">
        <f t="shared" ca="1" si="4"/>
        <v>4年0ヵ月28日</v>
      </c>
      <c r="M59" s="9"/>
    </row>
    <row r="60" spans="1:13" x14ac:dyDescent="0.4">
      <c r="A60" s="9" t="s">
        <v>141</v>
      </c>
      <c r="B60" s="9" t="s">
        <v>140</v>
      </c>
      <c r="C60" s="9" t="str">
        <f t="shared" si="0"/>
        <v>https://x.com/_crys25</v>
      </c>
      <c r="D60" s="10">
        <v>45139</v>
      </c>
      <c r="E60" s="24" t="str">
        <f t="shared" ca="1" si="1"/>
        <v>0年10ヵ月</v>
      </c>
      <c r="F60" s="11" t="s">
        <v>11</v>
      </c>
      <c r="G60" s="12" t="s">
        <v>139</v>
      </c>
      <c r="H60" s="9" t="str">
        <f t="shared" si="2"/>
        <v>https://scratch.mit.edu/users/Crystal-25/</v>
      </c>
      <c r="I60" s="14">
        <v>3</v>
      </c>
      <c r="J60" s="9" t="s">
        <v>415</v>
      </c>
      <c r="K60" s="13" t="str">
        <f t="shared" si="3"/>
        <v>2020/08/09</v>
      </c>
      <c r="L60" s="24" t="str">
        <f t="shared" ca="1" si="4"/>
        <v>3年9ヵ月28日</v>
      </c>
      <c r="M60" s="9"/>
    </row>
    <row r="61" spans="1:13" x14ac:dyDescent="0.4">
      <c r="A61" s="9" t="s">
        <v>540</v>
      </c>
      <c r="B61" s="9">
        <v>1998</v>
      </c>
      <c r="C61" s="9" t="str">
        <f t="shared" si="0"/>
        <v>https://x.com/1998ky262_FX</v>
      </c>
      <c r="D61" s="10">
        <v>44713</v>
      </c>
      <c r="E61" s="14" t="str">
        <f t="shared" ca="1" si="1"/>
        <v>2年0ヵ月</v>
      </c>
      <c r="F61" s="11"/>
      <c r="G61" s="12" t="s">
        <v>541</v>
      </c>
      <c r="H61" s="9" t="str">
        <f t="shared" si="2"/>
        <v>https://scratch.mit.edu/users/Springer_JA/</v>
      </c>
      <c r="I61" s="14">
        <v>3</v>
      </c>
      <c r="J61" s="9" t="s">
        <v>415</v>
      </c>
      <c r="K61" s="13" t="str">
        <f t="shared" si="3"/>
        <v>2022/11/07</v>
      </c>
      <c r="L61" s="24" t="str">
        <f t="shared" ca="1" si="4"/>
        <v>1年6ヵ月30日</v>
      </c>
      <c r="M61" s="9"/>
    </row>
    <row r="62" spans="1:13" x14ac:dyDescent="0.4">
      <c r="A62" s="9" t="s">
        <v>566</v>
      </c>
      <c r="B62" s="9" t="s">
        <v>567</v>
      </c>
      <c r="C62" s="9" t="str">
        <f t="shared" si="0"/>
        <v>https://x.com/aisu_teo</v>
      </c>
      <c r="D62" s="10">
        <v>45047</v>
      </c>
      <c r="E62" s="14" t="str">
        <f t="shared" ca="1" si="1"/>
        <v>1年1ヵ月</v>
      </c>
      <c r="F62" s="11"/>
      <c r="G62" s="12" t="s">
        <v>568</v>
      </c>
      <c r="H62" s="9" t="str">
        <f t="shared" si="2"/>
        <v>https://scratch.mit.edu/users/SmewDZN/</v>
      </c>
      <c r="I62" s="14">
        <v>3</v>
      </c>
      <c r="J62" s="9" t="s">
        <v>415</v>
      </c>
      <c r="K62" s="13" t="str">
        <f t="shared" si="3"/>
        <v>2023/10/19</v>
      </c>
      <c r="L62" s="24" t="str">
        <f t="shared" ca="1" si="4"/>
        <v>0年7ヵ月18日</v>
      </c>
      <c r="M62" s="9"/>
    </row>
    <row r="63" spans="1:13" x14ac:dyDescent="0.4">
      <c r="A63" s="9" t="s">
        <v>153</v>
      </c>
      <c r="B63" s="9" t="s">
        <v>154</v>
      </c>
      <c r="C63" s="9" t="str">
        <f t="shared" si="0"/>
        <v>https://x.com/Anemone_eizo</v>
      </c>
      <c r="D63" s="10">
        <v>45047</v>
      </c>
      <c r="E63" s="24" t="str">
        <f t="shared" ca="1" si="1"/>
        <v>1年1ヵ月</v>
      </c>
      <c r="F63" s="11"/>
      <c r="G63" s="12" t="s">
        <v>280</v>
      </c>
      <c r="H63" s="9" t="str">
        <f t="shared" si="2"/>
        <v>https://scratch.mit.edu/users/Anemone_080/</v>
      </c>
      <c r="I63" s="14">
        <v>3</v>
      </c>
      <c r="J63" s="9" t="s">
        <v>415</v>
      </c>
      <c r="K63" s="13" t="str">
        <f t="shared" si="3"/>
        <v>2023/04/24</v>
      </c>
      <c r="L63" s="24" t="str">
        <f t="shared" ca="1" si="4"/>
        <v>1年1ヵ月13日</v>
      </c>
      <c r="M63" s="9"/>
    </row>
    <row r="64" spans="1:13" x14ac:dyDescent="0.4">
      <c r="A64" s="9" t="s">
        <v>155</v>
      </c>
      <c r="B64" s="9" t="s">
        <v>156</v>
      </c>
      <c r="C64" s="9" t="str">
        <f t="shared" si="0"/>
        <v>https://x.com/artz_night</v>
      </c>
      <c r="D64" s="10">
        <v>45200</v>
      </c>
      <c r="E64" s="24" t="str">
        <f t="shared" ca="1" si="1"/>
        <v>0年8ヵ月</v>
      </c>
      <c r="F64" s="11"/>
      <c r="G64" s="12" t="s">
        <v>281</v>
      </c>
      <c r="H64" s="9" t="str">
        <f t="shared" si="2"/>
        <v>https://scratch.mit.edu/users/Nightartz/</v>
      </c>
      <c r="I64" s="14">
        <v>3</v>
      </c>
      <c r="J64" s="9" t="s">
        <v>415</v>
      </c>
      <c r="K64" s="13" t="str">
        <f t="shared" si="3"/>
        <v>2023/10/15</v>
      </c>
      <c r="L64" s="24" t="str">
        <f t="shared" ca="1" si="4"/>
        <v>0年7ヵ月22日</v>
      </c>
      <c r="M64" s="9"/>
    </row>
    <row r="65" spans="1:14" x14ac:dyDescent="0.4">
      <c r="A65" s="9" t="s">
        <v>120</v>
      </c>
      <c r="B65" s="9" t="s">
        <v>421</v>
      </c>
      <c r="C65" s="9" t="str">
        <f t="shared" si="0"/>
        <v>https://x.com/Ashibara_</v>
      </c>
      <c r="D65" s="10">
        <v>44470</v>
      </c>
      <c r="E65" s="24" t="str">
        <f t="shared" ca="1" si="1"/>
        <v>2年8ヵ月</v>
      </c>
      <c r="F65" s="11"/>
      <c r="G65" s="12" t="s">
        <v>119</v>
      </c>
      <c r="H65" s="9" t="str">
        <f t="shared" si="2"/>
        <v>https://scratch.mit.edu/users/Ashibara_Art/</v>
      </c>
      <c r="I65" s="14">
        <v>3</v>
      </c>
      <c r="J65" s="9" t="s">
        <v>415</v>
      </c>
      <c r="K65" s="13" t="str">
        <f t="shared" si="3"/>
        <v>2021/12/28</v>
      </c>
      <c r="L65" s="24" t="str">
        <f t="shared" ca="1" si="4"/>
        <v>2年5ヵ月9日</v>
      </c>
      <c r="M65" s="9"/>
    </row>
    <row r="66" spans="1:14" s="23" customFormat="1" x14ac:dyDescent="0.4">
      <c r="A66" s="9" t="s">
        <v>116</v>
      </c>
      <c r="B66" s="9" t="s">
        <v>445</v>
      </c>
      <c r="C66" s="9" t="str">
        <f t="shared" ref="C66:C129" si="5">"https://x.com/"&amp;A66</f>
        <v>https://x.com/atri_nen</v>
      </c>
      <c r="D66" s="10">
        <v>45108</v>
      </c>
      <c r="E66" s="24" t="str">
        <f t="shared" ref="E66:E129" ca="1" si="6">DATEDIF($D66,TODAY(),"y")&amp;"年"&amp;DATEDIF($D66,TODAY(),"YM")&amp;"ヵ月"</f>
        <v>0年11ヵ月</v>
      </c>
      <c r="F66" s="11"/>
      <c r="G66" s="12" t="s">
        <v>115</v>
      </c>
      <c r="H66" s="9" t="str">
        <f t="shared" ref="H66:H129" si="7">"https://scratch.mit.edu/users/"&amp;G66&amp;"/"</f>
        <v>https://scratch.mit.edu/users/Atridott/</v>
      </c>
      <c r="I66" s="14">
        <v>3</v>
      </c>
      <c r="J66" s="9" t="s">
        <v>415</v>
      </c>
      <c r="K66" s="13" t="str">
        <f t="shared" si="3"/>
        <v>2022/03/18</v>
      </c>
      <c r="L66" s="24" t="str">
        <f t="shared" ca="1" si="4"/>
        <v>2年2ヵ月19日</v>
      </c>
      <c r="M66" s="9"/>
      <c r="N66" s="15"/>
    </row>
    <row r="67" spans="1:14" x14ac:dyDescent="0.4">
      <c r="A67" s="9" t="s">
        <v>159</v>
      </c>
      <c r="B67" s="9" t="s">
        <v>160</v>
      </c>
      <c r="C67" s="9" t="str">
        <f t="shared" si="5"/>
        <v>https://x.com/AtyapiFX</v>
      </c>
      <c r="D67" s="10">
        <v>44927</v>
      </c>
      <c r="E67" s="24" t="str">
        <f t="shared" ca="1" si="6"/>
        <v>1年5ヵ月</v>
      </c>
      <c r="F67" s="11"/>
      <c r="G67" s="12" t="s">
        <v>283</v>
      </c>
      <c r="H67" s="9" t="str">
        <f t="shared" si="7"/>
        <v>https://scratch.mit.edu/users/atyapi-FX/</v>
      </c>
      <c r="I67" s="14">
        <v>3</v>
      </c>
      <c r="J67" s="9" t="s">
        <v>415</v>
      </c>
      <c r="K67" s="13" t="str">
        <f t="shared" ref="K67:K130" si="8">SUBSTITUTE(MID(_xlfn.WEBSERVICE("https://api.scratch.mit.edu/users/"&amp;$G67),FIND("joined",_xlfn.WEBSERVICE("https://api.scratch.mit.edu/users/"&amp;$G67))+9,10),"-","/")</f>
        <v>2022/03/18</v>
      </c>
      <c r="L67" s="24" t="str">
        <f t="shared" ref="L67:L130" ca="1" si="9">DATEDIF($K67,TODAY(),"y")&amp;"年"&amp;DATEDIF($K67,TODAY(),"YM")&amp;"ヵ月"&amp;DATEDIF($K67,TODAY(),"md")&amp;"日"</f>
        <v>2年2ヵ月19日</v>
      </c>
      <c r="M67" s="9"/>
    </row>
    <row r="68" spans="1:14" x14ac:dyDescent="0.4">
      <c r="A68" s="9" t="s">
        <v>114</v>
      </c>
      <c r="B68" s="9" t="s">
        <v>113</v>
      </c>
      <c r="C68" s="9" t="str">
        <f t="shared" si="5"/>
        <v>https://x.com/avi0111_</v>
      </c>
      <c r="D68" s="10">
        <v>45292</v>
      </c>
      <c r="E68" s="24" t="str">
        <f t="shared" ca="1" si="6"/>
        <v>0年5ヵ月</v>
      </c>
      <c r="F68" s="11"/>
      <c r="G68" s="12" t="s">
        <v>112</v>
      </c>
      <c r="H68" s="9" t="str">
        <f t="shared" si="7"/>
        <v>https://scratch.mit.edu/users/-AviFX-/</v>
      </c>
      <c r="I68" s="14">
        <v>3</v>
      </c>
      <c r="J68" s="9" t="s">
        <v>415</v>
      </c>
      <c r="K68" s="13" t="str">
        <f t="shared" si="8"/>
        <v>2022/12/12</v>
      </c>
      <c r="L68" s="24" t="str">
        <f t="shared" ca="1" si="9"/>
        <v>1年5ヵ月25日</v>
      </c>
      <c r="M68" s="9"/>
    </row>
    <row r="69" spans="1:14" x14ac:dyDescent="0.4">
      <c r="A69" s="9" t="s">
        <v>162</v>
      </c>
      <c r="B69" s="9" t="s">
        <v>163</v>
      </c>
      <c r="C69" s="9" t="str">
        <f t="shared" si="5"/>
        <v>https://x.com/BlueYtr35</v>
      </c>
      <c r="D69" s="10">
        <v>44743</v>
      </c>
      <c r="E69" s="24" t="str">
        <f t="shared" ca="1" si="6"/>
        <v>1年11ヵ月</v>
      </c>
      <c r="F69" s="11"/>
      <c r="G69" s="12" t="s">
        <v>285</v>
      </c>
      <c r="H69" s="9" t="str">
        <f t="shared" si="7"/>
        <v>https://scratch.mit.edu/users/BlueYTR35/</v>
      </c>
      <c r="I69" s="14">
        <v>3</v>
      </c>
      <c r="J69" s="9" t="s">
        <v>415</v>
      </c>
      <c r="K69" s="13" t="str">
        <f t="shared" si="8"/>
        <v>2015/08/22</v>
      </c>
      <c r="L69" s="24" t="str">
        <f t="shared" ca="1" si="9"/>
        <v>8年9ヵ月15日</v>
      </c>
      <c r="M69" s="9"/>
    </row>
    <row r="70" spans="1:14" x14ac:dyDescent="0.4">
      <c r="A70" s="9" t="s">
        <v>391</v>
      </c>
      <c r="B70" s="9" t="s">
        <v>9</v>
      </c>
      <c r="C70" s="9" t="str">
        <f t="shared" si="5"/>
        <v>https://x.com/cit_r1ne</v>
      </c>
      <c r="D70" s="10">
        <v>44531</v>
      </c>
      <c r="E70" s="24" t="str">
        <f t="shared" ca="1" si="6"/>
        <v>2年6ヵ月</v>
      </c>
      <c r="F70" s="11"/>
      <c r="G70" s="12" t="s">
        <v>111</v>
      </c>
      <c r="H70" s="9" t="str">
        <f t="shared" si="7"/>
        <v>https://scratch.mit.edu/users/CitrinN/</v>
      </c>
      <c r="I70" s="14">
        <v>3</v>
      </c>
      <c r="J70" s="9" t="s">
        <v>415</v>
      </c>
      <c r="K70" s="13" t="str">
        <f t="shared" si="8"/>
        <v>2021/10/30</v>
      </c>
      <c r="L70" s="24" t="str">
        <f t="shared" ca="1" si="9"/>
        <v>2年7ヵ月7日</v>
      </c>
      <c r="M70" s="9"/>
    </row>
    <row r="71" spans="1:14" x14ac:dyDescent="0.4">
      <c r="A71" s="9" t="s">
        <v>436</v>
      </c>
      <c r="B71" s="9" t="s">
        <v>437</v>
      </c>
      <c r="C71" s="9" t="str">
        <f t="shared" si="5"/>
        <v>https://x.com/Crown0216_sc</v>
      </c>
      <c r="D71" s="10">
        <v>45383</v>
      </c>
      <c r="E71" s="14" t="str">
        <f t="shared" ca="1" si="6"/>
        <v>0年2ヵ月</v>
      </c>
      <c r="F71" s="11"/>
      <c r="G71" s="12" t="s">
        <v>438</v>
      </c>
      <c r="H71" s="9" t="str">
        <f t="shared" si="7"/>
        <v>https://scratch.mit.edu/users/-Crown-FX-/</v>
      </c>
      <c r="I71" s="14">
        <v>3</v>
      </c>
      <c r="J71" s="9" t="s">
        <v>415</v>
      </c>
      <c r="K71" s="13" t="str">
        <f t="shared" si="8"/>
        <v>2023/07/06</v>
      </c>
      <c r="L71" s="24" t="str">
        <f t="shared" ca="1" si="9"/>
        <v>0年11ヵ月0日</v>
      </c>
      <c r="M71" s="9"/>
    </row>
    <row r="72" spans="1:14" x14ac:dyDescent="0.4">
      <c r="A72" s="9" t="s">
        <v>110</v>
      </c>
      <c r="B72" s="9" t="s">
        <v>109</v>
      </c>
      <c r="C72" s="9" t="str">
        <f t="shared" si="5"/>
        <v>https://x.com/Cyclone080808</v>
      </c>
      <c r="D72" s="10">
        <v>44743</v>
      </c>
      <c r="E72" s="24" t="str">
        <f t="shared" ca="1" si="6"/>
        <v>1年11ヵ月</v>
      </c>
      <c r="F72" s="11"/>
      <c r="G72" s="12" t="s">
        <v>108</v>
      </c>
      <c r="H72" s="9" t="str">
        <f t="shared" si="7"/>
        <v>https://scratch.mit.edu/users/Saikuron_Iida/</v>
      </c>
      <c r="I72" s="14">
        <v>3</v>
      </c>
      <c r="J72" s="9" t="s">
        <v>415</v>
      </c>
      <c r="K72" s="13" t="str">
        <f t="shared" si="8"/>
        <v>2023/10/07</v>
      </c>
      <c r="L72" s="24" t="str">
        <f t="shared" ca="1" si="9"/>
        <v>0年7ヵ月30日</v>
      </c>
      <c r="M72" s="9"/>
    </row>
    <row r="73" spans="1:14" x14ac:dyDescent="0.4">
      <c r="A73" s="9" t="s">
        <v>170</v>
      </c>
      <c r="B73" s="9" t="s">
        <v>171</v>
      </c>
      <c r="C73" s="9" t="str">
        <f t="shared" si="5"/>
        <v>https://x.com/dorasan0725</v>
      </c>
      <c r="D73" s="10">
        <v>44743</v>
      </c>
      <c r="E73" s="24" t="str">
        <f t="shared" ca="1" si="6"/>
        <v>1年11ヵ月</v>
      </c>
      <c r="F73" s="11"/>
      <c r="G73" s="12" t="s">
        <v>288</v>
      </c>
      <c r="H73" s="9" t="str">
        <f t="shared" si="7"/>
        <v>https://scratch.mit.edu/users/doraemon0725/</v>
      </c>
      <c r="I73" s="14">
        <v>3</v>
      </c>
      <c r="J73" s="9" t="s">
        <v>415</v>
      </c>
      <c r="K73" s="13" t="str">
        <f t="shared" si="8"/>
        <v>2020/06/04</v>
      </c>
      <c r="L73" s="24" t="str">
        <f t="shared" ca="1" si="9"/>
        <v>4年0ヵ月2日</v>
      </c>
      <c r="M73" s="9"/>
    </row>
    <row r="74" spans="1:14" x14ac:dyDescent="0.4">
      <c r="A74" s="9" t="s">
        <v>571</v>
      </c>
      <c r="B74" s="9" t="s">
        <v>572</v>
      </c>
      <c r="C74" s="9" t="str">
        <f t="shared" si="5"/>
        <v>https://x.com/Excel_DZN0832</v>
      </c>
      <c r="D74" s="10">
        <v>45413</v>
      </c>
      <c r="E74" s="14" t="str">
        <f t="shared" ca="1" si="6"/>
        <v>0年1ヵ月</v>
      </c>
      <c r="F74" s="11"/>
      <c r="G74" s="12" t="s">
        <v>573</v>
      </c>
      <c r="H74" s="9" t="str">
        <f t="shared" si="7"/>
        <v>https://scratch.mit.edu/users/ExcelDZN/</v>
      </c>
      <c r="I74" s="14">
        <v>3</v>
      </c>
      <c r="J74" s="9" t="s">
        <v>415</v>
      </c>
      <c r="K74" s="13" t="str">
        <f t="shared" si="8"/>
        <v>2023/07/01</v>
      </c>
      <c r="L74" s="24" t="str">
        <f t="shared" ca="1" si="9"/>
        <v>0年11ヵ月5日</v>
      </c>
      <c r="M74" s="9"/>
    </row>
    <row r="75" spans="1:14" x14ac:dyDescent="0.4">
      <c r="A75" s="9" t="s">
        <v>393</v>
      </c>
      <c r="B75" s="9" t="s">
        <v>353</v>
      </c>
      <c r="C75" s="9" t="str">
        <f t="shared" si="5"/>
        <v>https://x.com/F4NOH4164</v>
      </c>
      <c r="D75" s="10">
        <v>45352</v>
      </c>
      <c r="E75" s="24" t="str">
        <f t="shared" ca="1" si="6"/>
        <v>0年3ヵ月</v>
      </c>
      <c r="F75" s="11"/>
      <c r="G75" s="12" t="s">
        <v>354</v>
      </c>
      <c r="H75" s="9" t="str">
        <f t="shared" si="7"/>
        <v>https://scratch.mit.edu/users/FlanArtz/</v>
      </c>
      <c r="I75" s="14">
        <v>3</v>
      </c>
      <c r="J75" s="9" t="s">
        <v>415</v>
      </c>
      <c r="K75" s="13" t="str">
        <f t="shared" si="8"/>
        <v>2022/09/10</v>
      </c>
      <c r="L75" s="24" t="str">
        <f t="shared" ca="1" si="9"/>
        <v>1年8ヵ月27日</v>
      </c>
      <c r="M75" s="9"/>
    </row>
    <row r="76" spans="1:14" x14ac:dyDescent="0.4">
      <c r="A76" s="9" t="s">
        <v>178</v>
      </c>
      <c r="B76" s="9" t="s">
        <v>394</v>
      </c>
      <c r="C76" s="9" t="str">
        <f t="shared" si="5"/>
        <v>https://x.com/Free_Banner_scr</v>
      </c>
      <c r="D76" s="10">
        <v>45170</v>
      </c>
      <c r="E76" s="24" t="str">
        <f t="shared" ca="1" si="6"/>
        <v>0年9ヵ月</v>
      </c>
      <c r="F76" s="11"/>
      <c r="G76" s="12" t="s">
        <v>292</v>
      </c>
      <c r="H76" s="9" t="str">
        <f t="shared" si="7"/>
        <v>https://scratch.mit.edu/users/NeetFX/</v>
      </c>
      <c r="I76" s="14">
        <v>3</v>
      </c>
      <c r="J76" s="9" t="s">
        <v>415</v>
      </c>
      <c r="K76" s="13" t="str">
        <f t="shared" si="8"/>
        <v>2023/10/14</v>
      </c>
      <c r="L76" s="24" t="str">
        <f t="shared" ca="1" si="9"/>
        <v>0年7ヵ月23日</v>
      </c>
      <c r="M76" s="9"/>
    </row>
    <row r="77" spans="1:14" x14ac:dyDescent="0.4">
      <c r="A77" s="9" t="s">
        <v>107</v>
      </c>
      <c r="B77" s="9" t="s">
        <v>107</v>
      </c>
      <c r="C77" s="9" t="str">
        <f t="shared" si="5"/>
        <v>https://x.com/frezledz</v>
      </c>
      <c r="D77" s="10">
        <v>44256</v>
      </c>
      <c r="E77" s="24" t="str">
        <f t="shared" ca="1" si="6"/>
        <v>3年3ヵ月</v>
      </c>
      <c r="F77" s="11" t="s">
        <v>11</v>
      </c>
      <c r="G77" s="12" t="s">
        <v>106</v>
      </c>
      <c r="H77" s="9" t="str">
        <f t="shared" si="7"/>
        <v>https://scratch.mit.edu/users/xX_Freezer_Xx/</v>
      </c>
      <c r="I77" s="14">
        <v>3</v>
      </c>
      <c r="J77" s="9" t="s">
        <v>415</v>
      </c>
      <c r="K77" s="13" t="str">
        <f t="shared" si="8"/>
        <v>2021/10/25</v>
      </c>
      <c r="L77" s="24" t="str">
        <f t="shared" ca="1" si="9"/>
        <v>2年7ヵ月12日</v>
      </c>
      <c r="M77" s="9"/>
    </row>
    <row r="78" spans="1:14" x14ac:dyDescent="0.4">
      <c r="A78" s="9" t="s">
        <v>105</v>
      </c>
      <c r="B78" s="9" t="s">
        <v>395</v>
      </c>
      <c r="C78" s="9" t="str">
        <f t="shared" si="5"/>
        <v>https://x.com/GiaMC_movie</v>
      </c>
      <c r="D78" s="10">
        <v>44896</v>
      </c>
      <c r="E78" s="24" t="str">
        <f t="shared" ca="1" si="6"/>
        <v>1年6ヵ月</v>
      </c>
      <c r="F78" s="11"/>
      <c r="G78" s="12" t="s">
        <v>104</v>
      </c>
      <c r="H78" s="9" t="str">
        <f t="shared" si="7"/>
        <v>https://scratch.mit.edu/users/Xx-_magic_-xX/</v>
      </c>
      <c r="I78" s="14">
        <v>3</v>
      </c>
      <c r="J78" s="9" t="s">
        <v>415</v>
      </c>
      <c r="K78" s="13" t="str">
        <f t="shared" si="8"/>
        <v>2022/06/23</v>
      </c>
      <c r="L78" s="24" t="str">
        <f t="shared" ca="1" si="9"/>
        <v>1年11ヵ月14日</v>
      </c>
      <c r="M78" s="9"/>
    </row>
    <row r="79" spans="1:14" x14ac:dyDescent="0.4">
      <c r="A79" s="9" t="s">
        <v>103</v>
      </c>
      <c r="B79" s="9" t="s">
        <v>102</v>
      </c>
      <c r="C79" s="9" t="str">
        <f t="shared" si="5"/>
        <v>https://x.com/halkun19</v>
      </c>
      <c r="D79" s="10">
        <v>45047</v>
      </c>
      <c r="E79" s="24" t="str">
        <f t="shared" ca="1" si="6"/>
        <v>1年1ヵ月</v>
      </c>
      <c r="F79" s="11"/>
      <c r="G79" s="12" t="s">
        <v>101</v>
      </c>
      <c r="H79" s="9" t="str">
        <f t="shared" si="7"/>
        <v>https://scratch.mit.edu/users/harukun19/</v>
      </c>
      <c r="I79" s="14">
        <v>3</v>
      </c>
      <c r="J79" s="9" t="s">
        <v>415</v>
      </c>
      <c r="K79" s="13" t="str">
        <f t="shared" si="8"/>
        <v>2020/04/08</v>
      </c>
      <c r="L79" s="24" t="str">
        <f t="shared" ca="1" si="9"/>
        <v>4年1ヵ月29日</v>
      </c>
      <c r="M79" s="9"/>
    </row>
    <row r="80" spans="1:14" x14ac:dyDescent="0.4">
      <c r="A80" s="9" t="s">
        <v>475</v>
      </c>
      <c r="B80" s="9" t="s">
        <v>45</v>
      </c>
      <c r="C80" s="9" t="str">
        <f t="shared" si="5"/>
        <v>https://x.com/ham_mog_AviUtl</v>
      </c>
      <c r="D80" s="10">
        <v>44896</v>
      </c>
      <c r="E80" s="24" t="str">
        <f t="shared" ca="1" si="6"/>
        <v>1年6ヵ月</v>
      </c>
      <c r="F80" s="11"/>
      <c r="G80" s="12" t="s">
        <v>44</v>
      </c>
      <c r="H80" s="9" t="str">
        <f t="shared" si="7"/>
        <v>https://scratch.mit.edu/users/ham_mog/</v>
      </c>
      <c r="I80" s="14">
        <v>3</v>
      </c>
      <c r="J80" s="9" t="s">
        <v>415</v>
      </c>
      <c r="K80" s="13" t="str">
        <f t="shared" si="8"/>
        <v>2021/07/29</v>
      </c>
      <c r="L80" s="24" t="str">
        <f t="shared" ca="1" si="9"/>
        <v>2年10ヵ月8日</v>
      </c>
      <c r="M80" s="9"/>
    </row>
    <row r="81" spans="1:13" x14ac:dyDescent="0.4">
      <c r="A81" s="9" t="s">
        <v>95</v>
      </c>
      <c r="B81" s="9" t="s">
        <v>397</v>
      </c>
      <c r="C81" s="9" t="str">
        <f t="shared" si="5"/>
        <v>https://x.com/HCMS_Spring</v>
      </c>
      <c r="D81" s="10">
        <v>45108</v>
      </c>
      <c r="E81" s="24" t="str">
        <f t="shared" ca="1" si="6"/>
        <v>0年11ヵ月</v>
      </c>
      <c r="F81" s="11"/>
      <c r="G81" s="12" t="s">
        <v>94</v>
      </c>
      <c r="H81" s="9" t="str">
        <f t="shared" si="7"/>
        <v>https://scratch.mit.edu/users/SpringFX/</v>
      </c>
      <c r="I81" s="14">
        <v>3</v>
      </c>
      <c r="J81" s="9" t="s">
        <v>415</v>
      </c>
      <c r="K81" s="13" t="str">
        <f t="shared" si="8"/>
        <v>2022/10/19</v>
      </c>
      <c r="L81" s="24" t="str">
        <f t="shared" ca="1" si="9"/>
        <v>1年7ヵ月18日</v>
      </c>
      <c r="M81" s="9"/>
    </row>
    <row r="82" spans="1:13" x14ac:dyDescent="0.4">
      <c r="A82" s="9" t="s">
        <v>485</v>
      </c>
      <c r="B82" s="9" t="s">
        <v>486</v>
      </c>
      <c r="C82" s="9" t="str">
        <f t="shared" si="5"/>
        <v>https://x.com/hidorus_creator</v>
      </c>
      <c r="D82" s="10">
        <v>45017</v>
      </c>
      <c r="E82" s="14" t="str">
        <f t="shared" ca="1" si="6"/>
        <v>1年2ヵ月</v>
      </c>
      <c r="F82" s="11"/>
      <c r="G82" s="12" t="s">
        <v>487</v>
      </c>
      <c r="H82" s="9" t="str">
        <f t="shared" si="7"/>
        <v>https://scratch.mit.edu/users/H1D0RUS_218/</v>
      </c>
      <c r="I82" s="14">
        <v>3</v>
      </c>
      <c r="J82" s="9" t="s">
        <v>415</v>
      </c>
      <c r="K82" s="13" t="str">
        <f t="shared" si="8"/>
        <v>2023/10/07</v>
      </c>
      <c r="L82" s="24" t="str">
        <f ca="1">DATEDIF($K82,TODAY(),"y")&amp;"年"&amp;DATEDIF($K82,TODAY(),"YM")&amp;"ヵ月"&amp;DATEDIF($K82,TODAY(),"md")&amp;"日"</f>
        <v>0年7ヵ月30日</v>
      </c>
      <c r="M82" s="9"/>
    </row>
    <row r="83" spans="1:13" x14ac:dyDescent="0.4">
      <c r="A83" s="9" t="s">
        <v>93</v>
      </c>
      <c r="B83" s="9" t="s">
        <v>92</v>
      </c>
      <c r="C83" s="9" t="str">
        <f t="shared" si="5"/>
        <v>https://x.com/himanatamao</v>
      </c>
      <c r="D83" s="10">
        <v>45139</v>
      </c>
      <c r="E83" s="24" t="str">
        <f t="shared" ca="1" si="6"/>
        <v>0年10ヵ月</v>
      </c>
      <c r="F83" s="11"/>
      <c r="G83" s="12" t="s">
        <v>91</v>
      </c>
      <c r="H83" s="9" t="str">
        <f t="shared" si="7"/>
        <v>https://scratch.mit.edu/users/Tamao48/</v>
      </c>
      <c r="I83" s="14">
        <v>3</v>
      </c>
      <c r="J83" s="9" t="s">
        <v>415</v>
      </c>
      <c r="K83" s="13" t="str">
        <f t="shared" si="8"/>
        <v>2023/09/24</v>
      </c>
      <c r="L83" s="24" t="str">
        <f t="shared" ca="1" si="9"/>
        <v>0年8ヵ月13日</v>
      </c>
      <c r="M83" s="9"/>
    </row>
    <row r="84" spans="1:13" x14ac:dyDescent="0.4">
      <c r="A84" s="9" t="s">
        <v>466</v>
      </c>
      <c r="B84" s="9" t="s">
        <v>467</v>
      </c>
      <c r="C84" s="9" t="str">
        <f t="shared" si="5"/>
        <v>https://x.com/infhsv</v>
      </c>
      <c r="D84" s="10">
        <v>45078</v>
      </c>
      <c r="E84" s="14" t="str">
        <f t="shared" ca="1" si="6"/>
        <v>1年0ヵ月</v>
      </c>
      <c r="F84" s="11"/>
      <c r="G84" s="12" t="s">
        <v>468</v>
      </c>
      <c r="H84" s="9" t="str">
        <f t="shared" si="7"/>
        <v>https://scratch.mit.edu/users/infinitto/</v>
      </c>
      <c r="I84" s="14">
        <v>3</v>
      </c>
      <c r="J84" s="9" t="s">
        <v>415</v>
      </c>
      <c r="K84" s="13" t="str">
        <f t="shared" si="8"/>
        <v>2021/07/26</v>
      </c>
      <c r="L84" s="24" t="str">
        <f t="shared" ca="1" si="9"/>
        <v>2年10ヵ月11日</v>
      </c>
      <c r="M84" s="9"/>
    </row>
    <row r="85" spans="1:13" x14ac:dyDescent="0.4">
      <c r="A85" s="9" t="s">
        <v>193</v>
      </c>
      <c r="B85" s="9" t="s">
        <v>194</v>
      </c>
      <c r="C85" s="9" t="str">
        <f t="shared" si="5"/>
        <v>https://x.com/JPn_zyobu</v>
      </c>
      <c r="D85" s="10">
        <v>45383</v>
      </c>
      <c r="E85" s="24" t="str">
        <f t="shared" ca="1" si="6"/>
        <v>0年2ヵ月</v>
      </c>
      <c r="F85" s="11"/>
      <c r="G85" s="12" t="s">
        <v>299</v>
      </c>
      <c r="H85" s="9" t="str">
        <f t="shared" si="7"/>
        <v>https://scratch.mit.edu/users/zyobu/</v>
      </c>
      <c r="I85" s="14">
        <v>3</v>
      </c>
      <c r="J85" s="9" t="s">
        <v>415</v>
      </c>
      <c r="K85" s="13" t="str">
        <f t="shared" si="8"/>
        <v>2021/10/05</v>
      </c>
      <c r="L85" s="24" t="str">
        <f t="shared" ca="1" si="9"/>
        <v>2年8ヵ月1日</v>
      </c>
      <c r="M85" s="9"/>
    </row>
    <row r="86" spans="1:13" x14ac:dyDescent="0.4">
      <c r="A86" s="9" t="s">
        <v>195</v>
      </c>
      <c r="B86" s="9" t="s">
        <v>428</v>
      </c>
      <c r="C86" s="9" t="str">
        <f t="shared" si="5"/>
        <v>https://x.com/Kainoko_126</v>
      </c>
      <c r="D86" s="10">
        <v>45078</v>
      </c>
      <c r="E86" s="24" t="str">
        <f t="shared" ca="1" si="6"/>
        <v>1年0ヵ月</v>
      </c>
      <c r="F86" s="11" t="s">
        <v>11</v>
      </c>
      <c r="G86" s="12" t="s">
        <v>300</v>
      </c>
      <c r="H86" s="9" t="str">
        <f t="shared" si="7"/>
        <v>https://scratch.mit.edu/users/kainoko219444/</v>
      </c>
      <c r="I86" s="14">
        <v>3</v>
      </c>
      <c r="J86" s="9" t="s">
        <v>415</v>
      </c>
      <c r="K86" s="13" t="str">
        <f t="shared" si="8"/>
        <v>2021/02/15</v>
      </c>
      <c r="L86" s="24" t="str">
        <f t="shared" ca="1" si="9"/>
        <v>3年3ヵ月22日</v>
      </c>
      <c r="M86" s="9"/>
    </row>
    <row r="87" spans="1:13" x14ac:dyDescent="0.4">
      <c r="A87" s="9" t="s">
        <v>515</v>
      </c>
      <c r="B87" s="9" t="s">
        <v>516</v>
      </c>
      <c r="C87" s="9" t="str">
        <f t="shared" si="5"/>
        <v>https://x.com/kaneoFX_</v>
      </c>
      <c r="D87" s="10">
        <v>44927</v>
      </c>
      <c r="E87" s="14" t="str">
        <f t="shared" ca="1" si="6"/>
        <v>1年5ヵ月</v>
      </c>
      <c r="F87" s="11"/>
      <c r="G87" s="12" t="s">
        <v>517</v>
      </c>
      <c r="H87" s="9" t="str">
        <f t="shared" si="7"/>
        <v>https://scratch.mit.edu/users/-kaneofx-/</v>
      </c>
      <c r="I87" s="14">
        <v>3</v>
      </c>
      <c r="J87" s="9" t="s">
        <v>415</v>
      </c>
      <c r="K87" s="13" t="str">
        <f t="shared" si="8"/>
        <v>2022/03/30</v>
      </c>
      <c r="L87" s="24" t="str">
        <f t="shared" ca="1" si="9"/>
        <v>2年2ヵ月7日</v>
      </c>
      <c r="M87" s="9"/>
    </row>
    <row r="88" spans="1:13" x14ac:dyDescent="0.4">
      <c r="A88" s="9" t="s">
        <v>509</v>
      </c>
      <c r="B88" s="9" t="s">
        <v>510</v>
      </c>
      <c r="C88" s="9" t="str">
        <f t="shared" si="5"/>
        <v>https://x.com/keityan_eizou</v>
      </c>
      <c r="D88" s="10">
        <v>45047</v>
      </c>
      <c r="E88" s="14" t="str">
        <f t="shared" ca="1" si="6"/>
        <v>1年1ヵ月</v>
      </c>
      <c r="F88" s="11"/>
      <c r="G88" s="12" t="s">
        <v>511</v>
      </c>
      <c r="H88" s="9" t="str">
        <f t="shared" si="7"/>
        <v>https://scratch.mit.edu/users/k-sk17/</v>
      </c>
      <c r="I88" s="14">
        <v>3</v>
      </c>
      <c r="J88" s="9" t="s">
        <v>415</v>
      </c>
      <c r="K88" s="13" t="str">
        <f t="shared" si="8"/>
        <v>2018/07/20</v>
      </c>
      <c r="L88" s="24" t="str">
        <f t="shared" ca="1" si="9"/>
        <v>5年10ヵ月17日</v>
      </c>
      <c r="M88" s="9"/>
    </row>
    <row r="89" spans="1:13" x14ac:dyDescent="0.4">
      <c r="A89" s="9" t="s">
        <v>201</v>
      </c>
      <c r="B89" s="9" t="s">
        <v>143</v>
      </c>
      <c r="C89" s="9" t="str">
        <f t="shared" si="5"/>
        <v>https://x.com/keltainen_omena</v>
      </c>
      <c r="D89" s="10">
        <v>45352</v>
      </c>
      <c r="E89" s="24" t="str">
        <f t="shared" ca="1" si="6"/>
        <v>0年3ヵ月</v>
      </c>
      <c r="F89" s="11"/>
      <c r="G89" s="12" t="s">
        <v>143</v>
      </c>
      <c r="H89" s="9" t="str">
        <f t="shared" si="7"/>
        <v>https://scratch.mit.edu/users/Yellow_Apple/</v>
      </c>
      <c r="I89" s="14">
        <v>3</v>
      </c>
      <c r="J89" s="9" t="s">
        <v>415</v>
      </c>
      <c r="K89" s="13" t="str">
        <f t="shared" si="8"/>
        <v>2019/10/19</v>
      </c>
      <c r="L89" s="24" t="str">
        <f t="shared" ca="1" si="9"/>
        <v>4年7ヵ月18日</v>
      </c>
      <c r="M89" s="9"/>
    </row>
    <row r="90" spans="1:13" x14ac:dyDescent="0.4">
      <c r="A90" s="9" t="s">
        <v>507</v>
      </c>
      <c r="B90" s="9" t="s">
        <v>508</v>
      </c>
      <c r="C90" s="9" t="str">
        <f t="shared" si="5"/>
        <v>https://x.com/kobaDesignz</v>
      </c>
      <c r="D90" s="10">
        <v>45383</v>
      </c>
      <c r="E90" s="14" t="str">
        <f t="shared" ca="1" si="6"/>
        <v>0年2ヵ月</v>
      </c>
      <c r="F90" s="11"/>
      <c r="G90" s="12" t="s">
        <v>508</v>
      </c>
      <c r="H90" s="9" t="str">
        <f t="shared" si="7"/>
        <v>https://scratch.mit.edu/users/kobajin/</v>
      </c>
      <c r="I90" s="14">
        <v>3</v>
      </c>
      <c r="J90" s="9" t="s">
        <v>415</v>
      </c>
      <c r="K90" s="13" t="str">
        <f t="shared" si="8"/>
        <v>2022/07/01</v>
      </c>
      <c r="L90" s="24" t="str">
        <f t="shared" ca="1" si="9"/>
        <v>1年11ヵ月5日</v>
      </c>
      <c r="M90" s="9"/>
    </row>
    <row r="91" spans="1:13" x14ac:dyDescent="0.4">
      <c r="A91" s="9" t="s">
        <v>78</v>
      </c>
      <c r="B91" s="9" t="s">
        <v>77</v>
      </c>
      <c r="C91" s="9" t="str">
        <f t="shared" si="5"/>
        <v>https://x.com/Kumanomikun_</v>
      </c>
      <c r="D91" s="10">
        <v>44805</v>
      </c>
      <c r="E91" s="24" t="str">
        <f t="shared" ca="1" si="6"/>
        <v>1年9ヵ月</v>
      </c>
      <c r="F91" s="11"/>
      <c r="G91" s="12" t="s">
        <v>10</v>
      </c>
      <c r="H91" s="9" t="str">
        <f t="shared" si="7"/>
        <v>https://scratch.mit.edu/users/-Jupiterfx/</v>
      </c>
      <c r="I91" s="14">
        <v>3</v>
      </c>
      <c r="J91" s="9" t="s">
        <v>415</v>
      </c>
      <c r="K91" s="13" t="str">
        <f t="shared" si="8"/>
        <v>2023/03/14</v>
      </c>
      <c r="L91" s="24" t="str">
        <f t="shared" ca="1" si="9"/>
        <v>1年2ヵ月23日</v>
      </c>
      <c r="M91" s="9"/>
    </row>
    <row r="92" spans="1:13" x14ac:dyDescent="0.4">
      <c r="A92" s="9" t="s">
        <v>145</v>
      </c>
      <c r="B92" s="9" t="s">
        <v>206</v>
      </c>
      <c r="C92" s="9" t="str">
        <f t="shared" si="5"/>
        <v>https://x.com/letb_tw</v>
      </c>
      <c r="D92" s="10">
        <v>44621</v>
      </c>
      <c r="E92" s="24" t="str">
        <f t="shared" ca="1" si="6"/>
        <v>2年3ヵ月</v>
      </c>
      <c r="F92" s="11"/>
      <c r="G92" s="12" t="s">
        <v>306</v>
      </c>
      <c r="H92" s="9" t="str">
        <f t="shared" si="7"/>
        <v>https://scratch.mit.edu/users/LetsBurger/</v>
      </c>
      <c r="I92" s="14">
        <v>3</v>
      </c>
      <c r="J92" s="9" t="s">
        <v>415</v>
      </c>
      <c r="K92" s="13" t="str">
        <f t="shared" si="8"/>
        <v>2020/05/14</v>
      </c>
      <c r="L92" s="24" t="str">
        <f t="shared" ca="1" si="9"/>
        <v>4年0ヵ月23日</v>
      </c>
      <c r="M92" s="9"/>
    </row>
    <row r="93" spans="1:13" x14ac:dyDescent="0.4">
      <c r="A93" s="9" t="s">
        <v>407</v>
      </c>
      <c r="B93" s="9" t="s">
        <v>408</v>
      </c>
      <c r="C93" s="9" t="str">
        <f t="shared" si="5"/>
        <v>https://x.com/LightArtz_utl</v>
      </c>
      <c r="D93" s="10">
        <v>45323</v>
      </c>
      <c r="E93" s="24" t="str">
        <f t="shared" ca="1" si="6"/>
        <v>0年4ヵ月</v>
      </c>
      <c r="F93" s="11"/>
      <c r="G93" s="12" t="s">
        <v>76</v>
      </c>
      <c r="H93" s="9" t="str">
        <f t="shared" si="7"/>
        <v>https://scratch.mit.edu/users/-LightArtz-/</v>
      </c>
      <c r="I93" s="14">
        <v>3</v>
      </c>
      <c r="J93" s="9" t="s">
        <v>415</v>
      </c>
      <c r="K93" s="13" t="str">
        <f t="shared" si="8"/>
        <v>2022/07/21</v>
      </c>
      <c r="L93" s="24" t="str">
        <f t="shared" ca="1" si="9"/>
        <v>1年10ヵ月16日</v>
      </c>
      <c r="M93" s="9"/>
    </row>
    <row r="94" spans="1:13" x14ac:dyDescent="0.4">
      <c r="A94" s="9" t="s">
        <v>212</v>
      </c>
      <c r="B94" s="9" t="s">
        <v>213</v>
      </c>
      <c r="C94" s="9" t="str">
        <f t="shared" si="5"/>
        <v>https://x.com/MatchaGemes_</v>
      </c>
      <c r="D94" s="10">
        <v>44866</v>
      </c>
      <c r="E94" s="24" t="str">
        <f t="shared" ca="1" si="6"/>
        <v>1年7ヵ月</v>
      </c>
      <c r="F94" s="11"/>
      <c r="G94" s="12" t="s">
        <v>212</v>
      </c>
      <c r="H94" s="9" t="str">
        <f t="shared" si="7"/>
        <v>https://scratch.mit.edu/users/MatchaGemes_/</v>
      </c>
      <c r="I94" s="14">
        <v>3</v>
      </c>
      <c r="J94" s="9" t="s">
        <v>415</v>
      </c>
      <c r="K94" s="13" t="str">
        <f t="shared" si="8"/>
        <v>2021/09/26</v>
      </c>
      <c r="L94" s="24" t="str">
        <f t="shared" ca="1" si="9"/>
        <v>2年8ヵ月11日</v>
      </c>
      <c r="M94" s="9"/>
    </row>
    <row r="95" spans="1:13" x14ac:dyDescent="0.4">
      <c r="A95" s="9" t="s">
        <v>6</v>
      </c>
      <c r="B95" s="9" t="s">
        <v>69</v>
      </c>
      <c r="C95" s="9" t="str">
        <f t="shared" si="5"/>
        <v>https://x.com/Mayssh_01</v>
      </c>
      <c r="D95" s="10">
        <v>45231</v>
      </c>
      <c r="E95" s="24" t="str">
        <f t="shared" ca="1" si="6"/>
        <v>0年7ヵ月</v>
      </c>
      <c r="F95" s="11"/>
      <c r="G95" s="12" t="s">
        <v>7</v>
      </c>
      <c r="H95" s="9" t="str">
        <f t="shared" si="7"/>
        <v>https://scratch.mit.edu/users/mayssh_01/</v>
      </c>
      <c r="I95" s="14">
        <v>3</v>
      </c>
      <c r="J95" s="9" t="s">
        <v>415</v>
      </c>
      <c r="K95" s="13" t="str">
        <f t="shared" si="8"/>
        <v>2024/03/15</v>
      </c>
      <c r="L95" s="24" t="str">
        <f t="shared" ca="1" si="9"/>
        <v>0年2ヵ月22日</v>
      </c>
      <c r="M95" s="9"/>
    </row>
    <row r="96" spans="1:13" x14ac:dyDescent="0.4">
      <c r="A96" s="9" t="s">
        <v>214</v>
      </c>
      <c r="B96" s="9" t="s">
        <v>215</v>
      </c>
      <c r="C96" s="9" t="str">
        <f t="shared" si="5"/>
        <v>https://x.com/mercuryfx_</v>
      </c>
      <c r="D96" s="10">
        <v>44593</v>
      </c>
      <c r="E96" s="24" t="str">
        <f t="shared" ca="1" si="6"/>
        <v>2年4ヵ月</v>
      </c>
      <c r="F96" s="11"/>
      <c r="G96" s="12" t="s">
        <v>310</v>
      </c>
      <c r="H96" s="9" t="str">
        <f t="shared" si="7"/>
        <v>https://scratch.mit.edu/users/pokosuke0825/</v>
      </c>
      <c r="I96" s="14">
        <v>3</v>
      </c>
      <c r="J96" s="9" t="s">
        <v>415</v>
      </c>
      <c r="K96" s="13" t="str">
        <f t="shared" si="8"/>
        <v>2020/02/23</v>
      </c>
      <c r="L96" s="24" t="str">
        <f t="shared" ca="1" si="9"/>
        <v>4年3ヵ月14日</v>
      </c>
      <c r="M96" s="9"/>
    </row>
    <row r="97" spans="1:13" x14ac:dyDescent="0.4">
      <c r="A97" s="9" t="s">
        <v>216</v>
      </c>
      <c r="B97" s="9" t="s">
        <v>457</v>
      </c>
      <c r="C97" s="9" t="str">
        <f t="shared" si="5"/>
        <v>https://x.com/mero_curry0213</v>
      </c>
      <c r="D97" s="10">
        <v>45170</v>
      </c>
      <c r="E97" s="24" t="str">
        <f t="shared" ca="1" si="6"/>
        <v>0年9ヵ月</v>
      </c>
      <c r="F97" s="11"/>
      <c r="G97" s="12" t="s">
        <v>311</v>
      </c>
      <c r="H97" s="9" t="str">
        <f t="shared" si="7"/>
        <v>https://scratch.mit.edu/users/Creative-18/</v>
      </c>
      <c r="I97" s="14">
        <v>3</v>
      </c>
      <c r="J97" s="9" t="s">
        <v>415</v>
      </c>
      <c r="K97" s="13" t="str">
        <f t="shared" si="8"/>
        <v>2022/11/02</v>
      </c>
      <c r="L97" s="24" t="str">
        <f t="shared" ca="1" si="9"/>
        <v>1年7ヵ月4日</v>
      </c>
      <c r="M97" s="9"/>
    </row>
    <row r="98" spans="1:13" x14ac:dyDescent="0.4">
      <c r="A98" s="9" t="s">
        <v>217</v>
      </c>
      <c r="B98" s="9" t="s">
        <v>218</v>
      </c>
      <c r="C98" s="9" t="str">
        <f t="shared" si="5"/>
        <v>https://x.com/meronDZN</v>
      </c>
      <c r="D98" s="10">
        <v>45261</v>
      </c>
      <c r="E98" s="24" t="str">
        <f t="shared" ca="1" si="6"/>
        <v>0年6ヵ月</v>
      </c>
      <c r="F98" s="11"/>
      <c r="G98" s="12" t="s">
        <v>312</v>
      </c>
      <c r="H98" s="9" t="str">
        <f t="shared" si="7"/>
        <v>https://scratch.mit.edu/users/meron765/</v>
      </c>
      <c r="I98" s="14">
        <v>3</v>
      </c>
      <c r="J98" s="9" t="s">
        <v>415</v>
      </c>
      <c r="K98" s="13" t="str">
        <f t="shared" si="8"/>
        <v>2021/10/07</v>
      </c>
      <c r="L98" s="24" t="str">
        <f t="shared" ca="1" si="9"/>
        <v>2年7ヵ月30日</v>
      </c>
      <c r="M98" s="9"/>
    </row>
    <row r="99" spans="1:13" x14ac:dyDescent="0.4">
      <c r="A99" s="9" t="s">
        <v>222</v>
      </c>
      <c r="B99" s="9" t="s">
        <v>223</v>
      </c>
      <c r="C99" s="9" t="str">
        <f t="shared" si="5"/>
        <v>https://x.com/MidPreis</v>
      </c>
      <c r="D99" s="10">
        <v>44896</v>
      </c>
      <c r="E99" s="24" t="str">
        <f t="shared" ca="1" si="6"/>
        <v>1年6ヵ月</v>
      </c>
      <c r="F99" s="11"/>
      <c r="G99" s="12" t="s">
        <v>314</v>
      </c>
      <c r="H99" s="9" t="str">
        <f t="shared" si="7"/>
        <v>https://scratch.mit.edu/users/-MidGreen-/</v>
      </c>
      <c r="I99" s="14">
        <v>3</v>
      </c>
      <c r="J99" s="9" t="s">
        <v>415</v>
      </c>
      <c r="K99" s="13" t="str">
        <f t="shared" si="8"/>
        <v>2022/05/19</v>
      </c>
      <c r="L99" s="24" t="str">
        <f t="shared" ca="1" si="9"/>
        <v>2年0ヵ月18日</v>
      </c>
      <c r="M99" s="9"/>
    </row>
    <row r="100" spans="1:13" x14ac:dyDescent="0.4">
      <c r="A100" s="9" t="s">
        <v>225</v>
      </c>
      <c r="B100" s="9" t="s">
        <v>226</v>
      </c>
      <c r="C100" s="9" t="str">
        <f t="shared" si="5"/>
        <v>https://x.com/nanakusa033</v>
      </c>
      <c r="D100" s="10">
        <v>44562</v>
      </c>
      <c r="E100" s="24" t="str">
        <f t="shared" ca="1" si="6"/>
        <v>2年5ヵ月</v>
      </c>
      <c r="F100" s="11"/>
      <c r="G100" s="12" t="s">
        <v>316</v>
      </c>
      <c r="H100" s="9" t="str">
        <f t="shared" si="7"/>
        <v>https://scratch.mit.edu/users/nanakusa03/</v>
      </c>
      <c r="I100" s="14">
        <v>3</v>
      </c>
      <c r="J100" s="9" t="s">
        <v>415</v>
      </c>
      <c r="K100" s="13" t="str">
        <f t="shared" si="8"/>
        <v>2021/07/31</v>
      </c>
      <c r="L100" s="24" t="str">
        <f t="shared" ca="1" si="9"/>
        <v>2年10ヵ月6日</v>
      </c>
      <c r="M100" s="9"/>
    </row>
    <row r="101" spans="1:13" x14ac:dyDescent="0.4">
      <c r="A101" s="9" t="s">
        <v>377</v>
      </c>
      <c r="B101" s="9" t="s">
        <v>346</v>
      </c>
      <c r="C101" s="9" t="str">
        <f t="shared" si="5"/>
        <v>https://x.com/Negi3441</v>
      </c>
      <c r="D101" s="10">
        <v>45047</v>
      </c>
      <c r="E101" s="24" t="str">
        <f t="shared" ca="1" si="6"/>
        <v>1年1ヵ月</v>
      </c>
      <c r="F101" s="11"/>
      <c r="G101" s="12" t="s">
        <v>346</v>
      </c>
      <c r="H101" s="9" t="str">
        <f t="shared" si="7"/>
        <v>https://scratch.mit.edu/users/BLACK-FX/</v>
      </c>
      <c r="I101" s="14">
        <v>3</v>
      </c>
      <c r="J101" s="9" t="s">
        <v>415</v>
      </c>
      <c r="K101" s="13" t="str">
        <f t="shared" si="8"/>
        <v>2023/01/21</v>
      </c>
      <c r="L101" s="24" t="str">
        <f t="shared" ca="1" si="9"/>
        <v>1年4ヵ月16日</v>
      </c>
      <c r="M101" s="9"/>
    </row>
    <row r="102" spans="1:13" x14ac:dyDescent="0.4">
      <c r="A102" s="9" t="s">
        <v>229</v>
      </c>
      <c r="B102" s="9" t="s">
        <v>230</v>
      </c>
      <c r="C102" s="9" t="str">
        <f t="shared" si="5"/>
        <v>https://x.com/NieL829</v>
      </c>
      <c r="D102" s="10">
        <v>45108</v>
      </c>
      <c r="E102" s="24" t="str">
        <f t="shared" ca="1" si="6"/>
        <v>0年11ヵ月</v>
      </c>
      <c r="F102" s="11"/>
      <c r="G102" s="12" t="s">
        <v>230</v>
      </c>
      <c r="H102" s="9" t="str">
        <f t="shared" si="7"/>
        <v>https://scratch.mit.edu/users/NieL82/</v>
      </c>
      <c r="I102" s="14">
        <v>3</v>
      </c>
      <c r="J102" s="9" t="s">
        <v>415</v>
      </c>
      <c r="K102" s="13" t="str">
        <f t="shared" si="8"/>
        <v>2023/06/12</v>
      </c>
      <c r="L102" s="24" t="str">
        <f t="shared" ca="1" si="9"/>
        <v>0年11ヵ月25日</v>
      </c>
      <c r="M102" s="9"/>
    </row>
    <row r="103" spans="1:13" x14ac:dyDescent="0.4">
      <c r="A103" s="9" t="s">
        <v>463</v>
      </c>
      <c r="B103" s="9" t="s">
        <v>464</v>
      </c>
      <c r="C103" s="9" t="str">
        <f t="shared" si="5"/>
        <v>https://x.com/NyahaFX</v>
      </c>
      <c r="D103" s="10">
        <v>45352</v>
      </c>
      <c r="E103" s="14" t="str">
        <f t="shared" ca="1" si="6"/>
        <v>0年3ヵ月</v>
      </c>
      <c r="F103" s="11"/>
      <c r="G103" s="12" t="s">
        <v>465</v>
      </c>
      <c r="H103" s="9" t="str">
        <f t="shared" si="7"/>
        <v>https://scratch.mit.edu/users/nyahahanohahaha/</v>
      </c>
      <c r="I103" s="14">
        <v>3</v>
      </c>
      <c r="J103" s="9" t="s">
        <v>415</v>
      </c>
      <c r="K103" s="13" t="str">
        <f t="shared" si="8"/>
        <v>2021/10/06</v>
      </c>
      <c r="L103" s="24" t="str">
        <f t="shared" ca="1" si="9"/>
        <v>2年8ヵ月0日</v>
      </c>
      <c r="M103" s="9"/>
    </row>
    <row r="104" spans="1:13" x14ac:dyDescent="0.4">
      <c r="A104" s="16" t="s">
        <v>56</v>
      </c>
      <c r="B104" s="9" t="s">
        <v>57</v>
      </c>
      <c r="C104" s="9" t="str">
        <f t="shared" si="5"/>
        <v>https://x.com/omowaka</v>
      </c>
      <c r="D104" s="10">
        <v>44013</v>
      </c>
      <c r="E104" s="24" t="str">
        <f t="shared" ca="1" si="6"/>
        <v>3年11ヵ月</v>
      </c>
      <c r="F104" s="11" t="s">
        <v>11</v>
      </c>
      <c r="G104" s="12" t="s">
        <v>56</v>
      </c>
      <c r="H104" s="9" t="str">
        <f t="shared" si="7"/>
        <v>https://scratch.mit.edu/users/omowaka/</v>
      </c>
      <c r="I104" s="14">
        <v>3</v>
      </c>
      <c r="J104" s="9" t="s">
        <v>415</v>
      </c>
      <c r="K104" s="13" t="str">
        <f t="shared" si="8"/>
        <v>2020/04/10</v>
      </c>
      <c r="L104" s="24" t="str">
        <f t="shared" ca="1" si="9"/>
        <v>4年1ヵ月27日</v>
      </c>
      <c r="M104" s="9"/>
    </row>
    <row r="105" spans="1:13" x14ac:dyDescent="0.4">
      <c r="A105" s="9" t="s">
        <v>238</v>
      </c>
      <c r="B105" s="9" t="s">
        <v>239</v>
      </c>
      <c r="C105" s="9" t="str">
        <f t="shared" si="5"/>
        <v>https://x.com/pirates730</v>
      </c>
      <c r="D105" s="10">
        <v>45170</v>
      </c>
      <c r="E105" s="24" t="str">
        <f t="shared" ca="1" si="6"/>
        <v>0年9ヵ月</v>
      </c>
      <c r="F105" s="11"/>
      <c r="G105" s="12" t="s">
        <v>239</v>
      </c>
      <c r="H105" s="9" t="str">
        <f t="shared" si="7"/>
        <v>https://scratch.mit.edu/users/-PiratesArts-/</v>
      </c>
      <c r="I105" s="14">
        <v>3</v>
      </c>
      <c r="J105" s="9" t="s">
        <v>415</v>
      </c>
      <c r="K105" s="13" t="str">
        <f t="shared" si="8"/>
        <v>2023/08/02</v>
      </c>
      <c r="L105" s="24" t="str">
        <f t="shared" ca="1" si="9"/>
        <v>0年10ヵ月4日</v>
      </c>
      <c r="M105" s="9"/>
    </row>
    <row r="106" spans="1:13" x14ac:dyDescent="0.4">
      <c r="A106" s="9" t="s">
        <v>488</v>
      </c>
      <c r="B106" s="9" t="s">
        <v>489</v>
      </c>
      <c r="C106" s="9" t="str">
        <f t="shared" si="5"/>
        <v>https://x.com/qila_mc</v>
      </c>
      <c r="D106" s="10">
        <v>45352</v>
      </c>
      <c r="E106" s="14" t="str">
        <f t="shared" ca="1" si="6"/>
        <v>0年3ヵ月</v>
      </c>
      <c r="F106" s="11"/>
      <c r="G106" s="12" t="s">
        <v>490</v>
      </c>
      <c r="H106" s="9" t="str">
        <f t="shared" si="7"/>
        <v>https://scratch.mit.edu/users/BxlInQ/</v>
      </c>
      <c r="I106" s="14">
        <v>3</v>
      </c>
      <c r="J106" s="9" t="s">
        <v>415</v>
      </c>
      <c r="K106" s="13" t="str">
        <f t="shared" si="8"/>
        <v>2023/12/03</v>
      </c>
      <c r="L106" s="24" t="str">
        <f t="shared" ca="1" si="9"/>
        <v>0年6ヵ月3日</v>
      </c>
      <c r="M106" s="9"/>
    </row>
    <row r="107" spans="1:13" x14ac:dyDescent="0.4">
      <c r="A107" s="9" t="s">
        <v>246</v>
      </c>
      <c r="B107" s="9" t="s">
        <v>247</v>
      </c>
      <c r="C107" s="9" t="str">
        <f t="shared" si="5"/>
        <v>https://x.com/s4to329</v>
      </c>
      <c r="D107" s="10">
        <v>45231</v>
      </c>
      <c r="E107" s="24" t="str">
        <f t="shared" ca="1" si="6"/>
        <v>0年7ヵ月</v>
      </c>
      <c r="F107" s="11"/>
      <c r="G107" s="12" t="s">
        <v>325</v>
      </c>
      <c r="H107" s="9" t="str">
        <f t="shared" si="7"/>
        <v>https://scratch.mit.edu/users/SugarFX/</v>
      </c>
      <c r="I107" s="14">
        <v>3</v>
      </c>
      <c r="J107" s="9" t="s">
        <v>415</v>
      </c>
      <c r="K107" s="13" t="str">
        <f t="shared" si="8"/>
        <v>2022/06/24</v>
      </c>
      <c r="L107" s="24" t="str">
        <f t="shared" ca="1" si="9"/>
        <v>1年11ヵ月13日</v>
      </c>
      <c r="M107" s="9"/>
    </row>
    <row r="108" spans="1:13" x14ac:dyDescent="0.4">
      <c r="A108" s="9" t="s">
        <v>254</v>
      </c>
      <c r="B108" s="9" t="s">
        <v>255</v>
      </c>
      <c r="C108" s="9" t="str">
        <f t="shared" si="5"/>
        <v>https://x.com/stafx6698</v>
      </c>
      <c r="D108" s="10">
        <v>45292</v>
      </c>
      <c r="E108" s="24" t="str">
        <f t="shared" ca="1" si="6"/>
        <v>0年5ヵ月</v>
      </c>
      <c r="F108" s="11"/>
      <c r="G108" s="12" t="s">
        <v>328</v>
      </c>
      <c r="H108" s="9" t="str">
        <f t="shared" si="7"/>
        <v>https://scratch.mit.edu/users/Xx_-star-_xX/</v>
      </c>
      <c r="I108" s="14">
        <v>3</v>
      </c>
      <c r="J108" s="9" t="s">
        <v>415</v>
      </c>
      <c r="K108" s="13" t="str">
        <f t="shared" si="8"/>
        <v>2021/12/09</v>
      </c>
      <c r="L108" s="24" t="str">
        <f t="shared" ca="1" si="9"/>
        <v>2年5ヵ月28日</v>
      </c>
      <c r="M108" s="9"/>
    </row>
    <row r="109" spans="1:13" x14ac:dyDescent="0.4">
      <c r="A109" s="9" t="s">
        <v>369</v>
      </c>
      <c r="B109" s="9" t="s">
        <v>340</v>
      </c>
      <c r="C109" s="9" t="str">
        <f t="shared" si="5"/>
        <v>https://x.com/Tasa_intro</v>
      </c>
      <c r="D109" s="10">
        <v>45108</v>
      </c>
      <c r="E109" s="24" t="str">
        <f t="shared" ca="1" si="6"/>
        <v>0年11ヵ月</v>
      </c>
      <c r="F109" s="11"/>
      <c r="G109" s="12" t="s">
        <v>341</v>
      </c>
      <c r="H109" s="9" t="str">
        <f t="shared" si="7"/>
        <v>https://scratch.mit.edu/users/tatatasasasa/</v>
      </c>
      <c r="I109" s="14">
        <v>3</v>
      </c>
      <c r="J109" s="9" t="s">
        <v>415</v>
      </c>
      <c r="K109" s="13" t="str">
        <f t="shared" si="8"/>
        <v>2021/02/09</v>
      </c>
      <c r="L109" s="24" t="str">
        <f t="shared" ca="1" si="9"/>
        <v>3年3ヵ月28日</v>
      </c>
      <c r="M109" s="9"/>
    </row>
    <row r="110" spans="1:13" x14ac:dyDescent="0.4">
      <c r="A110" s="9" t="s">
        <v>260</v>
      </c>
      <c r="B110" s="9" t="s">
        <v>261</v>
      </c>
      <c r="C110" s="9" t="str">
        <f t="shared" si="5"/>
        <v>https://x.com/TIXDCD</v>
      </c>
      <c r="D110" s="10">
        <v>43586</v>
      </c>
      <c r="E110" s="24" t="str">
        <f t="shared" ca="1" si="6"/>
        <v>5年1ヵ月</v>
      </c>
      <c r="F110" s="11"/>
      <c r="G110" s="12" t="s">
        <v>330</v>
      </c>
      <c r="H110" s="9" t="str">
        <f t="shared" si="7"/>
        <v>https://scratch.mit.edu/users/t9decode/</v>
      </c>
      <c r="I110" s="14">
        <v>3</v>
      </c>
      <c r="J110" s="9" t="s">
        <v>415</v>
      </c>
      <c r="K110" s="13" t="str">
        <f t="shared" si="8"/>
        <v>2016/03/25</v>
      </c>
      <c r="L110" s="24" t="str">
        <f t="shared" ca="1" si="9"/>
        <v>8年2ヵ月12日</v>
      </c>
      <c r="M110" s="9"/>
    </row>
    <row r="111" spans="1:13" x14ac:dyDescent="0.4">
      <c r="A111" s="9" t="s">
        <v>458</v>
      </c>
      <c r="B111" s="9" t="s">
        <v>459</v>
      </c>
      <c r="C111" s="9" t="str">
        <f t="shared" si="5"/>
        <v>https://x.com/troydzn_2gou</v>
      </c>
      <c r="D111" s="10">
        <v>45383</v>
      </c>
      <c r="E111" s="14" t="str">
        <f t="shared" ca="1" si="6"/>
        <v>0年2ヵ月</v>
      </c>
      <c r="F111" s="11"/>
      <c r="G111" s="12" t="s">
        <v>460</v>
      </c>
      <c r="H111" s="9" t="str">
        <f t="shared" si="7"/>
        <v>https://scratch.mit.edu/users/-troydzn-/</v>
      </c>
      <c r="I111" s="14">
        <v>3</v>
      </c>
      <c r="J111" s="9" t="s">
        <v>415</v>
      </c>
      <c r="K111" s="13" t="str">
        <f t="shared" si="8"/>
        <v>2023/07/07</v>
      </c>
      <c r="L111" s="24" t="str">
        <f t="shared" ca="1" si="9"/>
        <v>0年10ヵ月30日</v>
      </c>
      <c r="M111" s="9"/>
    </row>
    <row r="112" spans="1:13" x14ac:dyDescent="0.4">
      <c r="A112" s="9" t="s">
        <v>262</v>
      </c>
      <c r="B112" s="9" t="s">
        <v>263</v>
      </c>
      <c r="C112" s="9" t="str">
        <f t="shared" si="5"/>
        <v>https://x.com/Ttro_FX</v>
      </c>
      <c r="D112" s="10">
        <v>45078</v>
      </c>
      <c r="E112" s="24" t="str">
        <f t="shared" ca="1" si="6"/>
        <v>1年0ヵ月</v>
      </c>
      <c r="F112" s="11"/>
      <c r="G112" s="12" t="s">
        <v>331</v>
      </c>
      <c r="H112" s="9" t="str">
        <f t="shared" si="7"/>
        <v>https://scratch.mit.edu/users/Ttro-FX/</v>
      </c>
      <c r="I112" s="14">
        <v>3</v>
      </c>
      <c r="J112" s="9" t="s">
        <v>415</v>
      </c>
      <c r="K112" s="13" t="str">
        <f t="shared" si="8"/>
        <v>2023/01/17</v>
      </c>
      <c r="L112" s="24" t="str">
        <f t="shared" ca="1" si="9"/>
        <v>1年4ヵ月20日</v>
      </c>
      <c r="M112" s="9"/>
    </row>
    <row r="113" spans="1:13" x14ac:dyDescent="0.4">
      <c r="A113" s="9" t="s">
        <v>27</v>
      </c>
      <c r="B113" s="9" t="s">
        <v>26</v>
      </c>
      <c r="C113" s="9" t="str">
        <f t="shared" si="5"/>
        <v>https://x.com/tyoral_</v>
      </c>
      <c r="D113" s="10">
        <v>44927</v>
      </c>
      <c r="E113" s="24" t="str">
        <f t="shared" ca="1" si="6"/>
        <v>1年5ヵ月</v>
      </c>
      <c r="F113" s="11"/>
      <c r="G113" s="12" t="s">
        <v>25</v>
      </c>
      <c r="H113" s="9" t="str">
        <f t="shared" si="7"/>
        <v>https://scratch.mit.edu/users/Xx_Choral_A_xX/</v>
      </c>
      <c r="I113" s="14">
        <v>3</v>
      </c>
      <c r="J113" s="9" t="s">
        <v>415</v>
      </c>
      <c r="K113" s="13" t="str">
        <f t="shared" si="8"/>
        <v>2022/06/19</v>
      </c>
      <c r="L113" s="24" t="str">
        <f t="shared" ca="1" si="9"/>
        <v>1年11ヵ月18日</v>
      </c>
      <c r="M113" s="9"/>
    </row>
    <row r="114" spans="1:13" x14ac:dyDescent="0.4">
      <c r="A114" s="9" t="s">
        <v>269</v>
      </c>
      <c r="B114" s="9" t="s">
        <v>270</v>
      </c>
      <c r="C114" s="9" t="str">
        <f t="shared" si="5"/>
        <v>https://x.com/Violey_</v>
      </c>
      <c r="D114" s="10">
        <v>44958</v>
      </c>
      <c r="E114" s="24" t="str">
        <f t="shared" ca="1" si="6"/>
        <v>1年4ヵ月</v>
      </c>
      <c r="F114" s="11"/>
      <c r="G114" s="12" t="s">
        <v>335</v>
      </c>
      <c r="H114" s="9" t="str">
        <f t="shared" si="7"/>
        <v>https://scratch.mit.edu/users/-VioletArtz-/</v>
      </c>
      <c r="I114" s="14">
        <v>3</v>
      </c>
      <c r="J114" s="9" t="s">
        <v>415</v>
      </c>
      <c r="K114" s="13" t="str">
        <f t="shared" si="8"/>
        <v>2023/01/22</v>
      </c>
      <c r="L114" s="24" t="str">
        <f t="shared" ca="1" si="9"/>
        <v>1年4ヵ月15日</v>
      </c>
      <c r="M114" s="9"/>
    </row>
    <row r="115" spans="1:13" x14ac:dyDescent="0.4">
      <c r="A115" s="9" t="s">
        <v>272</v>
      </c>
      <c r="B115" s="9" t="s">
        <v>273</v>
      </c>
      <c r="C115" s="9" t="str">
        <f t="shared" si="5"/>
        <v>https://x.com/xX0_Mame_0Xx</v>
      </c>
      <c r="D115" s="10">
        <v>44986</v>
      </c>
      <c r="E115" s="24" t="str">
        <f t="shared" ca="1" si="6"/>
        <v>1年3ヵ月</v>
      </c>
      <c r="F115" s="11"/>
      <c r="G115" s="12" t="s">
        <v>337</v>
      </c>
      <c r="H115" s="9" t="str">
        <f t="shared" si="7"/>
        <v>https://scratch.mit.edu/users/xX-_-Mame-_-Xx/</v>
      </c>
      <c r="I115" s="14">
        <v>3</v>
      </c>
      <c r="J115" s="9" t="s">
        <v>415</v>
      </c>
      <c r="K115" s="13" t="str">
        <f t="shared" si="8"/>
        <v>2022/03/19</v>
      </c>
      <c r="L115" s="24" t="str">
        <f t="shared" ca="1" si="9"/>
        <v>2年2ヵ月18日</v>
      </c>
      <c r="M115" s="9"/>
    </row>
    <row r="116" spans="1:13" x14ac:dyDescent="0.4">
      <c r="A116" s="9" t="s">
        <v>19</v>
      </c>
      <c r="B116" s="9" t="s">
        <v>18</v>
      </c>
      <c r="C116" s="9" t="str">
        <f t="shared" si="5"/>
        <v>https://x.com/YoukunFX</v>
      </c>
      <c r="D116" s="10">
        <v>45017</v>
      </c>
      <c r="E116" s="24" t="str">
        <f t="shared" ca="1" si="6"/>
        <v>1年2ヵ月</v>
      </c>
      <c r="F116" s="11" t="s">
        <v>11</v>
      </c>
      <c r="G116" s="12" t="s">
        <v>17</v>
      </c>
      <c r="H116" s="9" t="str">
        <f t="shared" si="7"/>
        <v>https://scratch.mit.edu/users/-Snowy-FX-/</v>
      </c>
      <c r="I116" s="14">
        <v>3</v>
      </c>
      <c r="J116" s="9" t="s">
        <v>415</v>
      </c>
      <c r="K116" s="13" t="str">
        <f t="shared" si="8"/>
        <v>2022/09/28</v>
      </c>
      <c r="L116" s="24" t="str">
        <f t="shared" ca="1" si="9"/>
        <v>1年8ヵ月9日</v>
      </c>
      <c r="M116" s="9"/>
    </row>
    <row r="117" spans="1:13" x14ac:dyDescent="0.4">
      <c r="A117" s="9" t="s">
        <v>482</v>
      </c>
      <c r="B117" s="9" t="s">
        <v>483</v>
      </c>
      <c r="C117" s="9" t="str">
        <f t="shared" si="5"/>
        <v>https://x.com/yuharu55</v>
      </c>
      <c r="D117" s="10">
        <v>44652</v>
      </c>
      <c r="E117" s="14" t="str">
        <f t="shared" ca="1" si="6"/>
        <v>2年2ヵ月</v>
      </c>
      <c r="F117" s="11"/>
      <c r="G117" s="12" t="s">
        <v>484</v>
      </c>
      <c r="H117" s="9" t="str">
        <f t="shared" si="7"/>
        <v>https://scratch.mit.edu/users/yuharu555/</v>
      </c>
      <c r="I117" s="14">
        <v>3</v>
      </c>
      <c r="J117" s="9" t="s">
        <v>415</v>
      </c>
      <c r="K117" s="13" t="str">
        <f t="shared" si="8"/>
        <v>2017/10/24</v>
      </c>
      <c r="L117" s="24" t="str">
        <f t="shared" ca="1" si="9"/>
        <v>6年7ヵ月13日</v>
      </c>
      <c r="M117" s="9"/>
    </row>
    <row r="118" spans="1:13" x14ac:dyDescent="0.4">
      <c r="A118" s="9" t="s">
        <v>16</v>
      </c>
      <c r="B118" s="9" t="s">
        <v>15</v>
      </c>
      <c r="C118" s="9" t="str">
        <f t="shared" si="5"/>
        <v>https://x.com/zororiku_</v>
      </c>
      <c r="D118" s="10">
        <v>44682</v>
      </c>
      <c r="E118" s="24" t="str">
        <f t="shared" ca="1" si="6"/>
        <v>2年1ヵ月</v>
      </c>
      <c r="F118" s="11"/>
      <c r="G118" s="12" t="s">
        <v>14</v>
      </c>
      <c r="H118" s="9" t="str">
        <f t="shared" si="7"/>
        <v>https://scratch.mit.edu/users/zororiku/</v>
      </c>
      <c r="I118" s="14">
        <v>3</v>
      </c>
      <c r="J118" s="9" t="s">
        <v>415</v>
      </c>
      <c r="K118" s="13" t="str">
        <f t="shared" si="8"/>
        <v>2018/10/08</v>
      </c>
      <c r="L118" s="24" t="str">
        <f t="shared" ca="1" si="9"/>
        <v>5年7ヵ月29日</v>
      </c>
      <c r="M118" s="9"/>
    </row>
    <row r="119" spans="1:13" x14ac:dyDescent="0.4">
      <c r="A119" s="9" t="s">
        <v>138</v>
      </c>
      <c r="B119" s="9" t="s">
        <v>418</v>
      </c>
      <c r="C119" s="9" t="str">
        <f t="shared" si="5"/>
        <v>https://x.com/_ra_mennya_</v>
      </c>
      <c r="D119" s="10">
        <v>45352</v>
      </c>
      <c r="E119" s="24" t="str">
        <f t="shared" ca="1" si="6"/>
        <v>0年3ヵ月</v>
      </c>
      <c r="F119" s="11"/>
      <c r="G119" s="12" t="s">
        <v>137</v>
      </c>
      <c r="H119" s="9" t="str">
        <f t="shared" si="7"/>
        <v>https://scratch.mit.edu/users/rara__official/</v>
      </c>
      <c r="I119" s="14">
        <v>4</v>
      </c>
      <c r="J119" s="9" t="s">
        <v>417</v>
      </c>
      <c r="K119" s="13" t="str">
        <f t="shared" si="8"/>
        <v>2023/10/02</v>
      </c>
      <c r="L119" s="24" t="str">
        <f t="shared" ca="1" si="9"/>
        <v>0年8ヵ月4日</v>
      </c>
      <c r="M119" s="9"/>
    </row>
    <row r="120" spans="1:13" x14ac:dyDescent="0.4">
      <c r="A120" s="9" t="s">
        <v>426</v>
      </c>
      <c r="B120" s="9" t="s">
        <v>427</v>
      </c>
      <c r="C120" s="9" t="str">
        <f t="shared" si="5"/>
        <v>https://x.com/bpb_falche</v>
      </c>
      <c r="D120" s="10">
        <v>44835</v>
      </c>
      <c r="E120" s="24" t="str">
        <f t="shared" ca="1" si="6"/>
        <v>1年8ヵ月</v>
      </c>
      <c r="F120" s="11"/>
      <c r="G120" s="12" t="s">
        <v>405</v>
      </c>
      <c r="H120" s="9" t="str">
        <f t="shared" si="7"/>
        <v>https://scratch.mit.edu/users/eikokoro/</v>
      </c>
      <c r="I120" s="14">
        <v>4</v>
      </c>
      <c r="J120" s="9" t="s">
        <v>417</v>
      </c>
      <c r="K120" s="13" t="str">
        <f t="shared" si="8"/>
        <v>2017/07/09</v>
      </c>
      <c r="L120" s="24" t="str">
        <f t="shared" ca="1" si="9"/>
        <v>6年10ヵ月28日</v>
      </c>
      <c r="M120" s="9"/>
    </row>
    <row r="121" spans="1:13" x14ac:dyDescent="0.4">
      <c r="A121" s="9" t="s">
        <v>542</v>
      </c>
      <c r="B121" s="9" t="s">
        <v>542</v>
      </c>
      <c r="C121" s="9" t="str">
        <f t="shared" si="5"/>
        <v>https://x.com/iwasiniki</v>
      </c>
      <c r="D121" s="10">
        <v>45352</v>
      </c>
      <c r="E121" s="14" t="str">
        <f t="shared" ca="1" si="6"/>
        <v>0年3ヵ月</v>
      </c>
      <c r="F121" s="11"/>
      <c r="G121" s="12" t="s">
        <v>543</v>
      </c>
      <c r="H121" s="9" t="str">
        <f t="shared" si="7"/>
        <v>https://scratch.mit.edu/users/Cranberrytrap/</v>
      </c>
      <c r="I121" s="14">
        <v>4</v>
      </c>
      <c r="J121" s="9" t="s">
        <v>417</v>
      </c>
      <c r="K121" s="13" t="str">
        <f t="shared" si="8"/>
        <v>2022/03/28</v>
      </c>
      <c r="L121" s="24" t="str">
        <f t="shared" ca="1" si="9"/>
        <v>2年2ヵ月9日</v>
      </c>
      <c r="M121" s="9"/>
    </row>
    <row r="122" spans="1:13" x14ac:dyDescent="0.4">
      <c r="A122" s="9" t="s">
        <v>399</v>
      </c>
      <c r="B122" s="9" t="s">
        <v>429</v>
      </c>
      <c r="C122" s="9" t="str">
        <f t="shared" si="5"/>
        <v>https://x.com/kamino_aoto</v>
      </c>
      <c r="D122" s="10">
        <v>45292</v>
      </c>
      <c r="E122" s="24" t="str">
        <f t="shared" ca="1" si="6"/>
        <v>0年5ヵ月</v>
      </c>
      <c r="F122" s="11"/>
      <c r="G122" s="12" t="s">
        <v>87</v>
      </c>
      <c r="H122" s="9" t="str">
        <f t="shared" si="7"/>
        <v>https://scratch.mit.edu/users/kaneshiro_aoto/</v>
      </c>
      <c r="I122" s="14">
        <v>4</v>
      </c>
      <c r="J122" s="9" t="s">
        <v>417</v>
      </c>
      <c r="K122" s="13" t="str">
        <f t="shared" si="8"/>
        <v>2024/02/17</v>
      </c>
      <c r="L122" s="24" t="str">
        <f t="shared" ca="1" si="9"/>
        <v>0年3ヵ月20日</v>
      </c>
      <c r="M122" s="9"/>
    </row>
    <row r="123" spans="1:13" x14ac:dyDescent="0.4">
      <c r="A123" s="9" t="s">
        <v>209</v>
      </c>
      <c r="B123" s="9" t="s">
        <v>409</v>
      </c>
      <c r="C123" s="9" t="str">
        <f t="shared" si="5"/>
        <v>https://x.com/maluyuu_RCJ</v>
      </c>
      <c r="D123" s="10">
        <v>44501</v>
      </c>
      <c r="E123" s="24" t="str">
        <f t="shared" ca="1" si="6"/>
        <v>2年7ヵ月</v>
      </c>
      <c r="F123" s="11"/>
      <c r="G123" s="12" t="s">
        <v>308</v>
      </c>
      <c r="H123" s="9" t="str">
        <f t="shared" si="7"/>
        <v>https://scratch.mit.edu/users/maluyuu/</v>
      </c>
      <c r="I123" s="14">
        <v>4</v>
      </c>
      <c r="J123" s="9" t="s">
        <v>417</v>
      </c>
      <c r="K123" s="13" t="str">
        <f t="shared" si="8"/>
        <v>2017/01/07</v>
      </c>
      <c r="L123" s="24" t="str">
        <f t="shared" ca="1" si="9"/>
        <v>7年4ヵ月30日</v>
      </c>
      <c r="M123" s="9"/>
    </row>
    <row r="124" spans="1:13" x14ac:dyDescent="0.4">
      <c r="A124" s="9" t="s">
        <v>378</v>
      </c>
      <c r="B124" s="9" t="s">
        <v>361</v>
      </c>
      <c r="C124" s="9" t="str">
        <f t="shared" si="5"/>
        <v>https://x.com/Mn__Shigure</v>
      </c>
      <c r="D124" s="10">
        <v>45231</v>
      </c>
      <c r="E124" s="24" t="str">
        <f t="shared" ca="1" si="6"/>
        <v>0年7ヵ月</v>
      </c>
      <c r="F124" s="11"/>
      <c r="G124" s="12" t="s">
        <v>360</v>
      </c>
      <c r="H124" s="9" t="str">
        <f t="shared" si="7"/>
        <v>https://scratch.mit.edu/users/Mn__Shigure/</v>
      </c>
      <c r="I124" s="14">
        <v>4</v>
      </c>
      <c r="J124" s="9" t="s">
        <v>417</v>
      </c>
      <c r="K124" s="13" t="str">
        <f t="shared" si="8"/>
        <v>2023/09/14</v>
      </c>
      <c r="L124" s="24" t="str">
        <f t="shared" ca="1" si="9"/>
        <v>0年8ヵ月23日</v>
      </c>
      <c r="M124" s="9" t="s">
        <v>431</v>
      </c>
    </row>
    <row r="125" spans="1:13" x14ac:dyDescent="0.4">
      <c r="A125" s="9" t="s">
        <v>68</v>
      </c>
      <c r="B125" s="9" t="s">
        <v>67</v>
      </c>
      <c r="C125" s="9" t="str">
        <f t="shared" si="5"/>
        <v>https://x.com/moeruwara</v>
      </c>
      <c r="D125" s="10">
        <v>45323</v>
      </c>
      <c r="E125" s="24" t="str">
        <f t="shared" ca="1" si="6"/>
        <v>0年4ヵ月</v>
      </c>
      <c r="F125" s="11"/>
      <c r="G125" s="12" t="s">
        <v>66</v>
      </c>
      <c r="H125" s="9" t="str">
        <f t="shared" si="7"/>
        <v>https://scratch.mit.edu/users/Soragami_Official/</v>
      </c>
      <c r="I125" s="14">
        <v>4</v>
      </c>
      <c r="J125" s="9" t="s">
        <v>417</v>
      </c>
      <c r="K125" s="13" t="str">
        <f t="shared" si="8"/>
        <v>2024/04/03</v>
      </c>
      <c r="L125" s="24" t="str">
        <f t="shared" ca="1" si="9"/>
        <v>0年2ヵ月3日</v>
      </c>
      <c r="M125" s="9"/>
    </row>
    <row r="126" spans="1:13" x14ac:dyDescent="0.4">
      <c r="A126" s="9" t="s">
        <v>499</v>
      </c>
      <c r="B126" s="9" t="s">
        <v>500</v>
      </c>
      <c r="C126" s="9" t="str">
        <f t="shared" si="5"/>
        <v>https://x.com/momo_neeeko</v>
      </c>
      <c r="D126" s="10">
        <v>44621</v>
      </c>
      <c r="E126" s="14" t="str">
        <f t="shared" ca="1" si="6"/>
        <v>2年3ヵ月</v>
      </c>
      <c r="F126" s="11"/>
      <c r="G126" s="12" t="s">
        <v>499</v>
      </c>
      <c r="H126" s="9" t="str">
        <f t="shared" si="7"/>
        <v>https://scratch.mit.edu/users/momo_neeeko/</v>
      </c>
      <c r="I126" s="14">
        <v>4</v>
      </c>
      <c r="J126" s="9" t="s">
        <v>417</v>
      </c>
      <c r="K126" s="13" t="str">
        <f t="shared" si="8"/>
        <v>2022/06/02</v>
      </c>
      <c r="L126" s="24" t="str">
        <f t="shared" ca="1" si="9"/>
        <v>2年0ヵ月4日</v>
      </c>
      <c r="M126" s="9"/>
    </row>
    <row r="127" spans="1:13" x14ac:dyDescent="0.4">
      <c r="A127" s="9" t="s">
        <v>237</v>
      </c>
      <c r="B127" s="9" t="s">
        <v>449</v>
      </c>
      <c r="C127" s="9" t="str">
        <f t="shared" si="5"/>
        <v>https://x.com/ORIHI_SC</v>
      </c>
      <c r="D127" s="10">
        <v>44440</v>
      </c>
      <c r="E127" s="24" t="str">
        <f t="shared" ca="1" si="6"/>
        <v>2年9ヵ月</v>
      </c>
      <c r="F127" s="11"/>
      <c r="G127" s="12" t="s">
        <v>321</v>
      </c>
      <c r="H127" s="9" t="str">
        <f t="shared" si="7"/>
        <v>https://scratch.mit.edu/users/ORIHIKAZE/</v>
      </c>
      <c r="I127" s="14">
        <v>4</v>
      </c>
      <c r="J127" s="9" t="s">
        <v>417</v>
      </c>
      <c r="K127" s="13" t="str">
        <f t="shared" si="8"/>
        <v>2021/06/12</v>
      </c>
      <c r="L127" s="24" t="str">
        <f t="shared" ca="1" si="9"/>
        <v>2年11ヵ月25日</v>
      </c>
      <c r="M127" s="9"/>
    </row>
    <row r="128" spans="1:13" x14ac:dyDescent="0.4">
      <c r="A128" s="9" t="s">
        <v>53</v>
      </c>
      <c r="B128" s="9" t="s">
        <v>52</v>
      </c>
      <c r="C128" s="9" t="str">
        <f t="shared" si="5"/>
        <v>https://x.com/Pino_scr</v>
      </c>
      <c r="D128" s="10">
        <v>45231</v>
      </c>
      <c r="E128" s="24" t="str">
        <f t="shared" ca="1" si="6"/>
        <v>0年7ヵ月</v>
      </c>
      <c r="F128" s="11"/>
      <c r="G128" s="12" t="s">
        <v>51</v>
      </c>
      <c r="H128" s="9" t="str">
        <f t="shared" si="7"/>
        <v>https://scratch.mit.edu/users/pino_name/</v>
      </c>
      <c r="I128" s="14">
        <v>4</v>
      </c>
      <c r="J128" s="9" t="s">
        <v>417</v>
      </c>
      <c r="K128" s="13" t="str">
        <f t="shared" si="8"/>
        <v>2023/09/28</v>
      </c>
      <c r="L128" s="24" t="str">
        <f t="shared" ca="1" si="9"/>
        <v>0年8ヵ月9日</v>
      </c>
      <c r="M128" s="9"/>
    </row>
    <row r="129" spans="1:13" x14ac:dyDescent="0.4">
      <c r="A129" s="9" t="s">
        <v>39</v>
      </c>
      <c r="B129" s="9" t="s">
        <v>38</v>
      </c>
      <c r="C129" s="9" t="str">
        <f t="shared" si="5"/>
        <v>https://x.com/suzusiroyakomo</v>
      </c>
      <c r="D129" s="10">
        <v>45323</v>
      </c>
      <c r="E129" s="24" t="str">
        <f t="shared" ca="1" si="6"/>
        <v>0年4ヵ月</v>
      </c>
      <c r="F129" s="11"/>
      <c r="G129" s="12" t="s">
        <v>37</v>
      </c>
      <c r="H129" s="9" t="str">
        <f t="shared" si="7"/>
        <v>https://scratch.mit.edu/users/_yakomo-official_/</v>
      </c>
      <c r="I129" s="14">
        <v>4</v>
      </c>
      <c r="J129" s="9" t="s">
        <v>417</v>
      </c>
      <c r="K129" s="13" t="str">
        <f t="shared" si="8"/>
        <v>2024/03/28</v>
      </c>
      <c r="L129" s="24" t="str">
        <f t="shared" ca="1" si="9"/>
        <v>0年2ヵ月9日</v>
      </c>
      <c r="M129" s="9"/>
    </row>
    <row r="130" spans="1:13" x14ac:dyDescent="0.4">
      <c r="A130" s="9" t="s">
        <v>128</v>
      </c>
      <c r="B130" s="9" t="s">
        <v>127</v>
      </c>
      <c r="C130" s="9" t="str">
        <f t="shared" ref="C130:C193" si="10">"https://x.com/"&amp;A130</f>
        <v>https://x.com/abee2</v>
      </c>
      <c r="D130" s="10">
        <v>39845</v>
      </c>
      <c r="E130" s="24" t="str">
        <f t="shared" ref="E130:E193" ca="1" si="11">DATEDIF($D130,TODAY(),"y")&amp;"年"&amp;DATEDIF($D130,TODAY(),"YM")&amp;"ヵ月"</f>
        <v>15年4ヵ月</v>
      </c>
      <c r="F130" s="11"/>
      <c r="G130" s="12" t="s">
        <v>126</v>
      </c>
      <c r="H130" s="9" t="str">
        <f t="shared" ref="H130:H193" si="12">"https://scratch.mit.edu/users/"&amp;G130&amp;"/"</f>
        <v>https://scratch.mit.edu/users/abee/</v>
      </c>
      <c r="I130" s="14">
        <v>5</v>
      </c>
      <c r="J130" s="9" t="s">
        <v>420</v>
      </c>
      <c r="K130" s="13" t="str">
        <f t="shared" si="8"/>
        <v>2007/05/19</v>
      </c>
      <c r="L130" s="24" t="str">
        <f t="shared" ca="1" si="9"/>
        <v>17年0ヵ月18日</v>
      </c>
      <c r="M130" s="9"/>
    </row>
    <row r="131" spans="1:13" x14ac:dyDescent="0.4">
      <c r="A131" s="16" t="s">
        <v>74</v>
      </c>
      <c r="B131" s="9" t="s">
        <v>75</v>
      </c>
      <c r="C131" s="9" t="str">
        <f t="shared" si="10"/>
        <v>https://x.com/logic_lab</v>
      </c>
      <c r="D131" s="10">
        <v>41974</v>
      </c>
      <c r="E131" s="24" t="str">
        <f t="shared" ca="1" si="11"/>
        <v>9年6ヵ月</v>
      </c>
      <c r="F131" s="11"/>
      <c r="G131" s="12" t="s">
        <v>74</v>
      </c>
      <c r="H131" s="9" t="str">
        <f t="shared" si="12"/>
        <v>https://scratch.mit.edu/users/logic_lab/</v>
      </c>
      <c r="I131" s="14">
        <v>5</v>
      </c>
      <c r="J131" s="9" t="s">
        <v>420</v>
      </c>
      <c r="K131" s="13" t="str">
        <f t="shared" ref="K131:K194" si="13">SUBSTITUTE(MID(_xlfn.WEBSERVICE("https://api.scratch.mit.edu/users/"&amp;$G131),FIND("joined",_xlfn.WEBSERVICE("https://api.scratch.mit.edu/users/"&amp;$G131))+9,10),"-","/")</f>
        <v>2014/12/12</v>
      </c>
      <c r="L131" s="24" t="str">
        <f t="shared" ref="L131:L194" ca="1" si="14">DATEDIF($K131,TODAY(),"y")&amp;"年"&amp;DATEDIF($K131,TODAY(),"YM")&amp;"ヵ月"&amp;DATEDIF($K131,TODAY(),"md")&amp;"日"</f>
        <v>9年5ヵ月25日</v>
      </c>
      <c r="M131" s="9"/>
    </row>
    <row r="132" spans="1:13" x14ac:dyDescent="0.4">
      <c r="A132" s="9" t="s">
        <v>224</v>
      </c>
      <c r="B132" s="9" t="s">
        <v>442</v>
      </c>
      <c r="C132" s="9" t="str">
        <f t="shared" si="10"/>
        <v>https://x.com/nakakoutv</v>
      </c>
      <c r="D132" s="10">
        <v>43891</v>
      </c>
      <c r="E132" s="24" t="str">
        <f t="shared" ca="1" si="11"/>
        <v>4年3ヵ月</v>
      </c>
      <c r="F132" s="11"/>
      <c r="G132" s="12" t="s">
        <v>315</v>
      </c>
      <c r="H132" s="9" t="str">
        <f t="shared" si="12"/>
        <v>https://scratch.mit.edu/users/nakakouTV/</v>
      </c>
      <c r="I132" s="14">
        <v>5</v>
      </c>
      <c r="J132" s="9" t="s">
        <v>420</v>
      </c>
      <c r="K132" s="13" t="str">
        <f t="shared" si="13"/>
        <v>2019/09/08</v>
      </c>
      <c r="L132" s="24" t="str">
        <f t="shared" ca="1" si="14"/>
        <v>4年8ヵ月29日</v>
      </c>
      <c r="M132" s="9"/>
    </row>
    <row r="133" spans="1:13" x14ac:dyDescent="0.4">
      <c r="A133" s="9" t="s">
        <v>569</v>
      </c>
      <c r="B133" s="9" t="s">
        <v>570</v>
      </c>
      <c r="C133" s="9" t="str">
        <f t="shared" si="10"/>
        <v>https://x.com/ningennnoyouna</v>
      </c>
      <c r="D133" s="10">
        <v>45292</v>
      </c>
      <c r="E133" s="14" t="str">
        <f t="shared" ca="1" si="11"/>
        <v>0年5ヵ月</v>
      </c>
      <c r="F133" s="11"/>
      <c r="G133" s="12" t="s">
        <v>570</v>
      </c>
      <c r="H133" s="9" t="str">
        <f t="shared" si="12"/>
        <v>https://scratch.mit.edu/users/ninngennnoyounahito/</v>
      </c>
      <c r="I133" s="14">
        <v>5</v>
      </c>
      <c r="J133" s="9" t="s">
        <v>420</v>
      </c>
      <c r="K133" s="13" t="str">
        <f t="shared" si="13"/>
        <v>2022/01/14</v>
      </c>
      <c r="L133" s="24" t="str">
        <f t="shared" ca="1" si="14"/>
        <v>2年4ヵ月23日</v>
      </c>
      <c r="M133" s="9"/>
    </row>
    <row r="134" spans="1:13" x14ac:dyDescent="0.4">
      <c r="A134" s="9" t="s">
        <v>240</v>
      </c>
      <c r="B134" s="9" t="s">
        <v>241</v>
      </c>
      <c r="C134" s="9" t="str">
        <f t="shared" si="10"/>
        <v>https://x.com/qramo</v>
      </c>
      <c r="D134" s="10">
        <v>39173</v>
      </c>
      <c r="E134" s="24" t="str">
        <f t="shared" ca="1" si="11"/>
        <v>17年2ヵ月</v>
      </c>
      <c r="F134" s="11"/>
      <c r="G134" s="12" t="s">
        <v>240</v>
      </c>
      <c r="H134" s="9" t="str">
        <f t="shared" si="12"/>
        <v>https://scratch.mit.edu/users/qramo/</v>
      </c>
      <c r="I134" s="14">
        <v>5</v>
      </c>
      <c r="J134" s="9" t="s">
        <v>420</v>
      </c>
      <c r="K134" s="13" t="str">
        <f t="shared" si="13"/>
        <v>2008/03/22</v>
      </c>
      <c r="L134" s="24" t="str">
        <f t="shared" ca="1" si="14"/>
        <v>16年2ヵ月15日</v>
      </c>
      <c r="M134" s="9"/>
    </row>
    <row r="135" spans="1:13" x14ac:dyDescent="0.4">
      <c r="A135" s="9" t="s">
        <v>446</v>
      </c>
      <c r="B135" s="9" t="s">
        <v>447</v>
      </c>
      <c r="C135" s="9" t="str">
        <f t="shared" si="10"/>
        <v>https://x.com/Yuk3u</v>
      </c>
      <c r="D135" s="10">
        <v>44835</v>
      </c>
      <c r="E135" s="14" t="str">
        <f t="shared" ca="1" si="11"/>
        <v>1年8ヵ月</v>
      </c>
      <c r="F135" s="11"/>
      <c r="G135" s="12" t="s">
        <v>448</v>
      </c>
      <c r="H135" s="9" t="str">
        <f t="shared" si="12"/>
        <v>https://scratch.mit.edu/users/yukku/</v>
      </c>
      <c r="I135" s="14">
        <v>5</v>
      </c>
      <c r="J135" s="9" t="s">
        <v>420</v>
      </c>
      <c r="K135" s="13" t="str">
        <f t="shared" si="13"/>
        <v>2016/05/04</v>
      </c>
      <c r="L135" s="24" t="str">
        <f t="shared" ca="1" si="14"/>
        <v>8年1ヵ月2日</v>
      </c>
      <c r="M135" s="9"/>
    </row>
    <row r="136" spans="1:13" x14ac:dyDescent="0.4">
      <c r="A136" s="9" t="s">
        <v>147</v>
      </c>
      <c r="B136" s="9" t="s">
        <v>148</v>
      </c>
      <c r="C136" s="9" t="str">
        <f t="shared" si="10"/>
        <v>https://x.com/_mumei_jp_1</v>
      </c>
      <c r="D136" s="10">
        <v>45139</v>
      </c>
      <c r="E136" s="24" t="str">
        <f t="shared" ca="1" si="11"/>
        <v>0年10ヵ月</v>
      </c>
      <c r="F136" s="11"/>
      <c r="G136" s="12" t="s">
        <v>277</v>
      </c>
      <c r="H136" s="9" t="str">
        <f t="shared" si="12"/>
        <v>https://scratch.mit.edu/users/_mumei_jp_/</v>
      </c>
      <c r="I136" s="14">
        <v>6</v>
      </c>
      <c r="J136" s="9" t="s">
        <v>422</v>
      </c>
      <c r="K136" s="13" t="str">
        <f t="shared" si="13"/>
        <v>2023/07/30</v>
      </c>
      <c r="L136" s="24" t="str">
        <f t="shared" ca="1" si="14"/>
        <v>0年10ヵ月7日</v>
      </c>
      <c r="M136" s="9"/>
    </row>
    <row r="137" spans="1:13" x14ac:dyDescent="0.4">
      <c r="A137" s="9" t="s">
        <v>136</v>
      </c>
      <c r="B137" s="9" t="s">
        <v>135</v>
      </c>
      <c r="C137" s="9" t="str">
        <f t="shared" si="10"/>
        <v>https://x.com/_tensaichicken_</v>
      </c>
      <c r="D137" s="10">
        <v>45108</v>
      </c>
      <c r="E137" s="24" t="str">
        <f t="shared" ca="1" si="11"/>
        <v>0年11ヵ月</v>
      </c>
      <c r="F137" s="11"/>
      <c r="G137" s="12" t="s">
        <v>135</v>
      </c>
      <c r="H137" s="9" t="str">
        <f t="shared" si="12"/>
        <v>https://scratch.mit.edu/users/tensaichicken/</v>
      </c>
      <c r="I137" s="14">
        <v>6</v>
      </c>
      <c r="J137" s="9" t="s">
        <v>422</v>
      </c>
      <c r="K137" s="13" t="str">
        <f t="shared" si="13"/>
        <v>2022/11/26</v>
      </c>
      <c r="L137" s="24" t="str">
        <f t="shared" ca="1" si="14"/>
        <v>1年6ヵ月11日</v>
      </c>
      <c r="M137" s="9"/>
    </row>
    <row r="138" spans="1:13" x14ac:dyDescent="0.4">
      <c r="A138" s="9" t="s">
        <v>385</v>
      </c>
      <c r="B138" s="9" t="s">
        <v>146</v>
      </c>
      <c r="C138" s="9" t="str">
        <f t="shared" si="10"/>
        <v>https://x.com/_THIA_K</v>
      </c>
      <c r="D138" s="10">
        <v>45078</v>
      </c>
      <c r="E138" s="24" t="str">
        <f t="shared" ca="1" si="11"/>
        <v>1年0ヵ月</v>
      </c>
      <c r="F138" s="11"/>
      <c r="G138" s="12" t="s">
        <v>276</v>
      </c>
      <c r="H138" s="9" t="str">
        <f t="shared" si="12"/>
        <v>https://scratch.mit.edu/users/---_--_--_--_--_---/</v>
      </c>
      <c r="I138" s="14">
        <v>6</v>
      </c>
      <c r="J138" s="9" t="s">
        <v>422</v>
      </c>
      <c r="K138" s="13" t="str">
        <f t="shared" si="13"/>
        <v>2023/02/10</v>
      </c>
      <c r="L138" s="24" t="str">
        <f t="shared" ca="1" si="14"/>
        <v>1年3ヵ月27日</v>
      </c>
      <c r="M138" s="9"/>
    </row>
    <row r="139" spans="1:13" x14ac:dyDescent="0.4">
      <c r="A139" s="9" t="s">
        <v>134</v>
      </c>
      <c r="B139" s="9" t="s">
        <v>133</v>
      </c>
      <c r="C139" s="9" t="str">
        <f t="shared" si="10"/>
        <v>https://x.com/_Xx_0o_o0_xX_</v>
      </c>
      <c r="D139" s="10">
        <v>45017</v>
      </c>
      <c r="E139" s="24" t="str">
        <f t="shared" ca="1" si="11"/>
        <v>1年2ヵ月</v>
      </c>
      <c r="F139" s="11"/>
      <c r="G139" s="12" t="s">
        <v>132</v>
      </c>
      <c r="H139" s="9" t="str">
        <f t="shared" si="12"/>
        <v>https://scratch.mit.edu/users/-Xx_Oo_oO_xX-/</v>
      </c>
      <c r="I139" s="14">
        <v>6</v>
      </c>
      <c r="J139" s="9" t="s">
        <v>422</v>
      </c>
      <c r="K139" s="13" t="str">
        <f t="shared" si="13"/>
        <v>2022/07/01</v>
      </c>
      <c r="L139" s="24" t="str">
        <f t="shared" ca="1" si="14"/>
        <v>1年11ヵ月5日</v>
      </c>
      <c r="M139" s="9"/>
    </row>
    <row r="140" spans="1:13" x14ac:dyDescent="0.4">
      <c r="A140" s="9" t="s">
        <v>529</v>
      </c>
      <c r="B140" s="9" t="s">
        <v>530</v>
      </c>
      <c r="C140" s="9" t="str">
        <f t="shared" si="10"/>
        <v>https://x.com/06552355x</v>
      </c>
      <c r="D140" s="10">
        <v>45139</v>
      </c>
      <c r="E140" s="14" t="str">
        <f t="shared" ca="1" si="11"/>
        <v>0年10ヵ月</v>
      </c>
      <c r="F140" s="11"/>
      <c r="G140" s="12" t="s">
        <v>530</v>
      </c>
      <c r="H140" s="9" t="str">
        <f t="shared" si="12"/>
        <v>https://scratch.mit.edu/users/_AGEPANN/</v>
      </c>
      <c r="I140" s="14">
        <v>6</v>
      </c>
      <c r="J140" s="9" t="s">
        <v>422</v>
      </c>
      <c r="K140" s="13" t="str">
        <f t="shared" si="13"/>
        <v>2023/09/16</v>
      </c>
      <c r="L140" s="24" t="str">
        <f t="shared" ca="1" si="14"/>
        <v>0年8ヵ月21日</v>
      </c>
      <c r="M140" s="9"/>
    </row>
    <row r="141" spans="1:13" x14ac:dyDescent="0.4">
      <c r="A141" s="9" t="s">
        <v>563</v>
      </c>
      <c r="B141" s="9" t="s">
        <v>564</v>
      </c>
      <c r="C141" s="9" t="str">
        <f t="shared" si="10"/>
        <v>https://x.com/17yBetelgeuse</v>
      </c>
      <c r="D141" s="10">
        <v>44013</v>
      </c>
      <c r="E141" s="14" t="str">
        <f t="shared" ca="1" si="11"/>
        <v>3年11ヵ月</v>
      </c>
      <c r="F141" s="11"/>
      <c r="G141" s="12" t="s">
        <v>565</v>
      </c>
      <c r="H141" s="9" t="str">
        <f t="shared" si="12"/>
        <v>https://scratch.mit.edu/users/betelgeuse_17y/</v>
      </c>
      <c r="I141" s="14">
        <v>6</v>
      </c>
      <c r="J141" s="9" t="s">
        <v>422</v>
      </c>
      <c r="K141" s="13" t="str">
        <f t="shared" si="13"/>
        <v>2019/02/28</v>
      </c>
      <c r="L141" s="24" t="str">
        <f t="shared" ca="1" si="14"/>
        <v>5年3ヵ月9日</v>
      </c>
      <c r="M141" s="9"/>
    </row>
    <row r="142" spans="1:13" x14ac:dyDescent="0.4">
      <c r="A142" s="9" t="s">
        <v>579</v>
      </c>
      <c r="B142" s="9" t="s">
        <v>580</v>
      </c>
      <c r="C142" s="9" t="str">
        <f t="shared" si="10"/>
        <v>https://x.com/2030scratch</v>
      </c>
      <c r="D142" s="10">
        <v>45292</v>
      </c>
      <c r="E142" s="14" t="str">
        <f t="shared" ca="1" si="11"/>
        <v>0年5ヵ月</v>
      </c>
      <c r="F142" s="11"/>
      <c r="G142" s="12" t="s">
        <v>581</v>
      </c>
      <c r="H142" s="9" t="str">
        <f t="shared" si="12"/>
        <v>https://scratch.mit.edu/users/2030sdgs/</v>
      </c>
      <c r="I142" s="14">
        <v>6</v>
      </c>
      <c r="J142" s="9" t="s">
        <v>422</v>
      </c>
      <c r="K142" s="13" t="str">
        <f t="shared" si="13"/>
        <v>2021/09/07</v>
      </c>
      <c r="L142" s="24" t="str">
        <f t="shared" ca="1" si="14"/>
        <v>2年8ヵ月30日</v>
      </c>
      <c r="M142" s="9"/>
    </row>
    <row r="143" spans="1:13" x14ac:dyDescent="0.4">
      <c r="A143" s="9" t="s">
        <v>504</v>
      </c>
      <c r="B143" s="9" t="s">
        <v>505</v>
      </c>
      <c r="C143" s="9" t="str">
        <f t="shared" si="10"/>
        <v>https://x.com/46491cat</v>
      </c>
      <c r="D143" s="10">
        <v>45261</v>
      </c>
      <c r="E143" s="14" t="str">
        <f t="shared" ca="1" si="11"/>
        <v>0年6ヵ月</v>
      </c>
      <c r="F143" s="11"/>
      <c r="G143" s="12" t="s">
        <v>506</v>
      </c>
      <c r="H143" s="9" t="str">
        <f t="shared" si="12"/>
        <v>https://scratch.mit.edu/users/Cat-tiger-/</v>
      </c>
      <c r="I143" s="14">
        <v>6</v>
      </c>
      <c r="J143" s="9" t="s">
        <v>422</v>
      </c>
      <c r="K143" s="13" t="str">
        <f t="shared" si="13"/>
        <v>2023/07/01</v>
      </c>
      <c r="L143" s="24" t="str">
        <f t="shared" ca="1" si="14"/>
        <v>0年11ヵ月5日</v>
      </c>
      <c r="M143" s="9"/>
    </row>
    <row r="144" spans="1:13" x14ac:dyDescent="0.4">
      <c r="A144" s="9" t="s">
        <v>131</v>
      </c>
      <c r="B144" s="9" t="s">
        <v>130</v>
      </c>
      <c r="C144" s="9" t="str">
        <f t="shared" si="10"/>
        <v>https://x.com/99_GHKk</v>
      </c>
      <c r="D144" s="10">
        <v>44986</v>
      </c>
      <c r="E144" s="24" t="str">
        <f t="shared" ca="1" si="11"/>
        <v>1年3ヵ月</v>
      </c>
      <c r="F144" s="11"/>
      <c r="G144" s="12" t="s">
        <v>129</v>
      </c>
      <c r="H144" s="9" t="str">
        <f t="shared" si="12"/>
        <v>https://scratch.mit.edu/users/GHKk_99/</v>
      </c>
      <c r="I144" s="14">
        <v>6</v>
      </c>
      <c r="J144" s="9" t="s">
        <v>423</v>
      </c>
      <c r="K144" s="13" t="str">
        <f t="shared" si="13"/>
        <v>2022/05/09</v>
      </c>
      <c r="L144" s="24" t="str">
        <f t="shared" ca="1" si="14"/>
        <v>2年0ヵ月28日</v>
      </c>
      <c r="M144" s="9"/>
    </row>
    <row r="145" spans="1:13" x14ac:dyDescent="0.4">
      <c r="A145" s="9" t="s">
        <v>123</v>
      </c>
      <c r="B145" s="9" t="s">
        <v>122</v>
      </c>
      <c r="C145" s="9" t="str">
        <f t="shared" si="10"/>
        <v>https://x.com/appleca71514618</v>
      </c>
      <c r="D145" s="10">
        <v>44866</v>
      </c>
      <c r="E145" s="24" t="str">
        <f t="shared" ca="1" si="11"/>
        <v>1年7ヵ月</v>
      </c>
      <c r="F145" s="11"/>
      <c r="G145" s="12" t="s">
        <v>121</v>
      </c>
      <c r="H145" s="9" t="str">
        <f t="shared" si="12"/>
        <v>https://scratch.mit.edu/users/banana_sansan/</v>
      </c>
      <c r="I145" s="14">
        <v>6</v>
      </c>
      <c r="J145" s="9" t="s">
        <v>422</v>
      </c>
      <c r="K145" s="13" t="str">
        <f t="shared" si="13"/>
        <v>2021/09/29</v>
      </c>
      <c r="L145" s="24" t="str">
        <f t="shared" ca="1" si="14"/>
        <v>2年8ヵ月8日</v>
      </c>
      <c r="M145" s="9"/>
    </row>
    <row r="146" spans="1:13" x14ac:dyDescent="0.4">
      <c r="A146" s="9" t="s">
        <v>496</v>
      </c>
      <c r="B146" s="9" t="s">
        <v>497</v>
      </c>
      <c r="C146" s="9" t="str">
        <f t="shared" si="10"/>
        <v>https://x.com/ArLgon_sb3</v>
      </c>
      <c r="D146" s="10">
        <v>44562</v>
      </c>
      <c r="E146" s="14" t="str">
        <f t="shared" ca="1" si="11"/>
        <v>2年5ヵ月</v>
      </c>
      <c r="F146" s="11"/>
      <c r="G146" s="12" t="s">
        <v>498</v>
      </c>
      <c r="H146" s="9" t="str">
        <f t="shared" si="12"/>
        <v>https://scratch.mit.edu/users/syou2008/</v>
      </c>
      <c r="I146" s="14">
        <v>6</v>
      </c>
      <c r="J146" s="9" t="s">
        <v>422</v>
      </c>
      <c r="K146" s="13" t="str">
        <f t="shared" si="13"/>
        <v>2016/01/03</v>
      </c>
      <c r="L146" s="24" t="str">
        <f t="shared" ca="1" si="14"/>
        <v>8年5ヵ月3日</v>
      </c>
      <c r="M146" s="9"/>
    </row>
    <row r="147" spans="1:13" x14ac:dyDescent="0.4">
      <c r="A147" s="9" t="s">
        <v>157</v>
      </c>
      <c r="B147" s="9" t="s">
        <v>158</v>
      </c>
      <c r="C147" s="9" t="str">
        <f t="shared" si="10"/>
        <v>https://x.com/asuka_scratch</v>
      </c>
      <c r="D147" s="10">
        <v>44743</v>
      </c>
      <c r="E147" s="24" t="str">
        <f t="shared" ca="1" si="11"/>
        <v>1年11ヵ月</v>
      </c>
      <c r="F147" s="11" t="s">
        <v>11</v>
      </c>
      <c r="G147" s="12" t="s">
        <v>282</v>
      </c>
      <c r="H147" s="9" t="str">
        <f t="shared" si="12"/>
        <v>https://scratch.mit.edu/users/kotomi-meru/</v>
      </c>
      <c r="I147" s="14">
        <v>6</v>
      </c>
      <c r="J147" s="9" t="s">
        <v>422</v>
      </c>
      <c r="K147" s="13" t="str">
        <f t="shared" si="13"/>
        <v>2017/12/17</v>
      </c>
      <c r="L147" s="24" t="str">
        <f t="shared" ca="1" si="14"/>
        <v>6年5ヵ月20日</v>
      </c>
      <c r="M147" s="9"/>
    </row>
    <row r="148" spans="1:13" x14ac:dyDescent="0.4">
      <c r="A148" s="9" t="s">
        <v>161</v>
      </c>
      <c r="B148" s="9" t="s">
        <v>424</v>
      </c>
      <c r="C148" s="9" t="str">
        <f t="shared" si="10"/>
        <v>https://x.com/banteku176510</v>
      </c>
      <c r="D148" s="10">
        <v>45139</v>
      </c>
      <c r="E148" s="24" t="str">
        <f t="shared" ca="1" si="11"/>
        <v>0年10ヵ月</v>
      </c>
      <c r="F148" s="11"/>
      <c r="G148" s="12" t="s">
        <v>284</v>
      </c>
      <c r="H148" s="9" t="str">
        <f t="shared" si="12"/>
        <v>https://scratch.mit.edu/users/bantecGG/</v>
      </c>
      <c r="I148" s="14">
        <v>6</v>
      </c>
      <c r="J148" s="9" t="s">
        <v>422</v>
      </c>
      <c r="K148" s="13" t="str">
        <f t="shared" si="13"/>
        <v>2022/09/11</v>
      </c>
      <c r="L148" s="24" t="str">
        <f t="shared" ca="1" si="14"/>
        <v>1年8ヵ月26日</v>
      </c>
      <c r="M148" s="9"/>
    </row>
    <row r="149" spans="1:13" x14ac:dyDescent="0.4">
      <c r="A149" s="9" t="s">
        <v>164</v>
      </c>
      <c r="B149" s="9" t="s">
        <v>165</v>
      </c>
      <c r="C149" s="9" t="str">
        <f t="shared" si="10"/>
        <v>https://x.com/Diamond_Scratch</v>
      </c>
      <c r="D149" s="10">
        <v>44743</v>
      </c>
      <c r="E149" s="24" t="str">
        <f t="shared" ca="1" si="11"/>
        <v>1年11ヵ月</v>
      </c>
      <c r="F149" s="11"/>
      <c r="G149" s="12" t="s">
        <v>286</v>
      </c>
      <c r="H149" s="9" t="str">
        <f t="shared" si="12"/>
        <v>https://scratch.mit.edu/users/-Diamond_Scratch-/</v>
      </c>
      <c r="I149" s="14">
        <v>6</v>
      </c>
      <c r="J149" s="9" t="s">
        <v>422</v>
      </c>
      <c r="K149" s="13" t="str">
        <f t="shared" si="13"/>
        <v>2022/06/06</v>
      </c>
      <c r="L149" s="24" t="str">
        <f t="shared" ca="1" si="14"/>
        <v>2年0ヵ月0日</v>
      </c>
      <c r="M149" s="9"/>
    </row>
    <row r="150" spans="1:13" x14ac:dyDescent="0.4">
      <c r="A150" s="9" t="s">
        <v>168</v>
      </c>
      <c r="B150" s="9" t="s">
        <v>169</v>
      </c>
      <c r="C150" s="9" t="str">
        <f t="shared" si="10"/>
        <v>https://x.com/Doramori334</v>
      </c>
      <c r="D150" s="10">
        <v>44621</v>
      </c>
      <c r="E150" s="24" t="str">
        <f t="shared" ca="1" si="11"/>
        <v>2年3ヵ月</v>
      </c>
      <c r="F150" s="11"/>
      <c r="G150" s="12" t="s">
        <v>287</v>
      </c>
      <c r="H150" s="9" t="str">
        <f t="shared" si="12"/>
        <v>https://scratch.mit.edu/users/goziratomosura/</v>
      </c>
      <c r="I150" s="14">
        <v>6</v>
      </c>
      <c r="J150" s="9" t="s">
        <v>422</v>
      </c>
      <c r="K150" s="13" t="str">
        <f t="shared" si="13"/>
        <v>2018/08/10</v>
      </c>
      <c r="L150" s="24" t="str">
        <f t="shared" ca="1" si="14"/>
        <v>5年9ヵ月27日</v>
      </c>
      <c r="M150" s="9"/>
    </row>
    <row r="151" spans="1:13" x14ac:dyDescent="0.4">
      <c r="A151" s="17" t="s">
        <v>544</v>
      </c>
      <c r="B151" s="17" t="s">
        <v>545</v>
      </c>
      <c r="C151" s="9" t="str">
        <f t="shared" si="10"/>
        <v>https://x.com/driveGOX0925</v>
      </c>
      <c r="D151" s="18">
        <v>45261</v>
      </c>
      <c r="E151" s="14" t="str">
        <f t="shared" ca="1" si="11"/>
        <v>0年6ヵ月</v>
      </c>
      <c r="G151" s="20" t="s">
        <v>545</v>
      </c>
      <c r="H151" s="9" t="str">
        <f t="shared" si="12"/>
        <v>https://scratch.mit.edu/users/driveGOX/</v>
      </c>
      <c r="I151" s="14">
        <v>6</v>
      </c>
      <c r="J151" s="9" t="s">
        <v>422</v>
      </c>
      <c r="K151" s="13" t="str">
        <f t="shared" si="13"/>
        <v>2021/07/18</v>
      </c>
      <c r="L151" s="24" t="str">
        <f t="shared" ca="1" si="14"/>
        <v>2年10ヵ月19日</v>
      </c>
    </row>
    <row r="152" spans="1:13" x14ac:dyDescent="0.4">
      <c r="A152" s="17" t="s">
        <v>175</v>
      </c>
      <c r="B152" s="17" t="s">
        <v>425</v>
      </c>
      <c r="C152" s="9" t="str">
        <f t="shared" si="10"/>
        <v>https://x.com/edamame_pikmi</v>
      </c>
      <c r="D152" s="18">
        <v>45047</v>
      </c>
      <c r="E152" s="24" t="str">
        <f t="shared" ca="1" si="11"/>
        <v>1年1ヵ月</v>
      </c>
      <c r="G152" s="20" t="s">
        <v>290</v>
      </c>
      <c r="H152" s="9" t="str">
        <f t="shared" si="12"/>
        <v>https://scratch.mit.edu/users/pikmi_taisa/</v>
      </c>
      <c r="I152" s="14">
        <v>6</v>
      </c>
      <c r="J152" s="9" t="s">
        <v>422</v>
      </c>
      <c r="K152" s="13" t="str">
        <f t="shared" si="13"/>
        <v>2024/02/10</v>
      </c>
      <c r="L152" s="24" t="str">
        <f t="shared" ca="1" si="14"/>
        <v>0年3ヵ月27日</v>
      </c>
    </row>
    <row r="153" spans="1:13" x14ac:dyDescent="0.4">
      <c r="A153" s="17" t="s">
        <v>176</v>
      </c>
      <c r="B153" s="17" t="s">
        <v>177</v>
      </c>
      <c r="C153" s="9" t="str">
        <f t="shared" si="10"/>
        <v>https://x.com/eelrice140</v>
      </c>
      <c r="D153" s="18">
        <v>44317</v>
      </c>
      <c r="E153" s="24" t="str">
        <f t="shared" ca="1" si="11"/>
        <v>3年1ヵ月</v>
      </c>
      <c r="G153" s="20" t="s">
        <v>291</v>
      </c>
      <c r="H153" s="9" t="str">
        <f t="shared" si="12"/>
        <v>https://scratch.mit.edu/users/unazyuuoomori/</v>
      </c>
      <c r="I153" s="14">
        <v>6</v>
      </c>
      <c r="J153" s="9" t="s">
        <v>422</v>
      </c>
      <c r="K153" s="13" t="str">
        <f t="shared" si="13"/>
        <v>2019/03/27</v>
      </c>
      <c r="L153" s="24" t="str">
        <f t="shared" ca="1" si="14"/>
        <v>5年2ヵ月10日</v>
      </c>
    </row>
    <row r="154" spans="1:13" x14ac:dyDescent="0.4">
      <c r="A154" s="17" t="s">
        <v>179</v>
      </c>
      <c r="B154" s="17" t="s">
        <v>180</v>
      </c>
      <c r="C154" s="9" t="str">
        <f t="shared" si="10"/>
        <v>https://x.com/GOTTbatotai54</v>
      </c>
      <c r="D154" s="18">
        <v>44652</v>
      </c>
      <c r="E154" s="24" t="str">
        <f t="shared" ca="1" si="11"/>
        <v>2年2ヵ月</v>
      </c>
      <c r="G154" s="20" t="s">
        <v>293</v>
      </c>
      <c r="H154" s="9" t="str">
        <f t="shared" si="12"/>
        <v>https://scratch.mit.edu/users/GOD54/</v>
      </c>
      <c r="I154" s="22">
        <v>6</v>
      </c>
      <c r="J154" s="17" t="s">
        <v>422</v>
      </c>
      <c r="K154" s="13" t="str">
        <f t="shared" si="13"/>
        <v>2017/10/03</v>
      </c>
      <c r="L154" s="24" t="str">
        <f t="shared" ca="1" si="14"/>
        <v>6年8ヵ月3日</v>
      </c>
    </row>
    <row r="155" spans="1:13" x14ac:dyDescent="0.4">
      <c r="A155" s="17" t="s">
        <v>181</v>
      </c>
      <c r="B155" s="17" t="s">
        <v>182</v>
      </c>
      <c r="C155" s="9" t="str">
        <f t="shared" si="10"/>
        <v>https://x.com/Gurachan0</v>
      </c>
      <c r="D155" s="18">
        <v>44682</v>
      </c>
      <c r="E155" s="24" t="str">
        <f t="shared" ca="1" si="11"/>
        <v>2年1ヵ月</v>
      </c>
      <c r="F155" s="19" t="s">
        <v>11</v>
      </c>
      <c r="G155" s="20" t="s">
        <v>294</v>
      </c>
      <c r="H155" s="9" t="str">
        <f t="shared" si="12"/>
        <v>https://scratch.mit.edu/users/GuraTea/</v>
      </c>
      <c r="I155" s="14">
        <v>6</v>
      </c>
      <c r="J155" s="9" t="s">
        <v>422</v>
      </c>
      <c r="K155" s="13" t="str">
        <f t="shared" si="13"/>
        <v>2023/07/30</v>
      </c>
      <c r="L155" s="24" t="str">
        <f t="shared" ca="1" si="14"/>
        <v>0年10ヵ月7日</v>
      </c>
    </row>
    <row r="156" spans="1:13" x14ac:dyDescent="0.4">
      <c r="A156" s="17" t="s">
        <v>100</v>
      </c>
      <c r="B156" s="17" t="s">
        <v>99</v>
      </c>
      <c r="C156" s="9" t="str">
        <f t="shared" si="10"/>
        <v>https://x.com/haru_ymth</v>
      </c>
      <c r="D156" s="18">
        <v>44682</v>
      </c>
      <c r="E156" s="25" t="str">
        <f t="shared" ca="1" si="11"/>
        <v>2年1ヵ月</v>
      </c>
      <c r="F156" s="19" t="s">
        <v>11</v>
      </c>
      <c r="G156" s="20" t="s">
        <v>99</v>
      </c>
      <c r="H156" s="9" t="str">
        <f t="shared" si="12"/>
        <v>https://scratch.mit.edu/users/haru-ymth/</v>
      </c>
      <c r="I156" s="22">
        <v>6</v>
      </c>
      <c r="J156" s="17" t="s">
        <v>422</v>
      </c>
      <c r="K156" s="13" t="str">
        <f t="shared" si="13"/>
        <v>2022/08/07</v>
      </c>
      <c r="L156" s="24" t="str">
        <f t="shared" ca="1" si="14"/>
        <v>1年9ヵ月30日</v>
      </c>
    </row>
    <row r="157" spans="1:13" x14ac:dyDescent="0.4">
      <c r="A157" s="17" t="s">
        <v>183</v>
      </c>
      <c r="B157" s="17" t="s">
        <v>184</v>
      </c>
      <c r="C157" s="9" t="str">
        <f t="shared" si="10"/>
        <v>https://x.com/HCWHkU8w9dvhirQ</v>
      </c>
      <c r="D157" s="18">
        <v>44531</v>
      </c>
      <c r="E157" s="25" t="str">
        <f t="shared" ca="1" si="11"/>
        <v>2年6ヵ月</v>
      </c>
      <c r="G157" s="20" t="s">
        <v>295</v>
      </c>
      <c r="H157" s="9" t="str">
        <f t="shared" si="12"/>
        <v>https://scratch.mit.edu/users/Hiruneman/</v>
      </c>
      <c r="I157" s="22">
        <v>6</v>
      </c>
      <c r="J157" s="17" t="s">
        <v>422</v>
      </c>
      <c r="K157" s="13" t="str">
        <f t="shared" si="13"/>
        <v>2024/03/31</v>
      </c>
      <c r="L157" s="24" t="str">
        <f t="shared" ca="1" si="14"/>
        <v>0年2ヵ月6日</v>
      </c>
    </row>
    <row r="158" spans="1:13" x14ac:dyDescent="0.4">
      <c r="A158" s="17" t="s">
        <v>185</v>
      </c>
      <c r="B158" s="17" t="s">
        <v>186</v>
      </c>
      <c r="C158" s="9" t="str">
        <f t="shared" si="10"/>
        <v>https://x.com/HeroSoramame02</v>
      </c>
      <c r="D158" s="18">
        <v>45139</v>
      </c>
      <c r="E158" s="25" t="str">
        <f t="shared" ca="1" si="11"/>
        <v>0年10ヵ月</v>
      </c>
      <c r="G158" s="20" t="s">
        <v>296</v>
      </c>
      <c r="H158" s="9" t="str">
        <f t="shared" si="12"/>
        <v>https://scratch.mit.edu/users/02_soramame/</v>
      </c>
      <c r="I158" s="22">
        <v>6</v>
      </c>
      <c r="J158" s="17" t="s">
        <v>422</v>
      </c>
      <c r="K158" s="13" t="str">
        <f t="shared" si="13"/>
        <v>2021/03/08</v>
      </c>
      <c r="L158" s="24" t="str">
        <f t="shared" ca="1" si="14"/>
        <v>3年2ヵ月29日</v>
      </c>
    </row>
    <row r="159" spans="1:13" x14ac:dyDescent="0.4">
      <c r="A159" s="17" t="s">
        <v>187</v>
      </c>
      <c r="B159" s="17" t="s">
        <v>188</v>
      </c>
      <c r="C159" s="9" t="str">
        <f t="shared" si="10"/>
        <v>https://x.com/HimikoPC</v>
      </c>
      <c r="D159" s="18">
        <v>45261</v>
      </c>
      <c r="E159" s="25" t="str">
        <f t="shared" ca="1" si="11"/>
        <v>0年6ヵ月</v>
      </c>
      <c r="G159" s="20" t="s">
        <v>297</v>
      </c>
      <c r="H159" s="9" t="str">
        <f t="shared" si="12"/>
        <v>https://scratch.mit.edu/users/SUPER_PEANUTS/</v>
      </c>
      <c r="I159" s="14">
        <v>6</v>
      </c>
      <c r="J159" s="9" t="s">
        <v>422</v>
      </c>
      <c r="K159" s="13" t="str">
        <f t="shared" si="13"/>
        <v>2022/05/06</v>
      </c>
      <c r="L159" s="24" t="str">
        <f t="shared" ca="1" si="14"/>
        <v>2年1ヵ月0日</v>
      </c>
    </row>
    <row r="160" spans="1:13" x14ac:dyDescent="0.4">
      <c r="A160" s="17" t="s">
        <v>90</v>
      </c>
      <c r="B160" s="17" t="s">
        <v>89</v>
      </c>
      <c r="C160" s="9" t="str">
        <f t="shared" si="10"/>
        <v>https://x.com/hisiragi_jp</v>
      </c>
      <c r="D160" s="18">
        <v>44866</v>
      </c>
      <c r="E160" s="25" t="str">
        <f t="shared" ca="1" si="11"/>
        <v>1年7ヵ月</v>
      </c>
      <c r="G160" s="20" t="s">
        <v>88</v>
      </c>
      <c r="H160" s="9" t="str">
        <f t="shared" si="12"/>
        <v>https://scratch.mit.edu/users/hisiragi/</v>
      </c>
      <c r="I160" s="22">
        <v>6</v>
      </c>
      <c r="J160" s="17" t="s">
        <v>422</v>
      </c>
      <c r="K160" s="13" t="str">
        <f t="shared" si="13"/>
        <v>2021/12/21</v>
      </c>
      <c r="L160" s="24" t="str">
        <f t="shared" ca="1" si="14"/>
        <v>2年5ヵ月16日</v>
      </c>
    </row>
    <row r="161" spans="1:12" x14ac:dyDescent="0.4">
      <c r="A161" s="17" t="s">
        <v>189</v>
      </c>
      <c r="B161" s="17" t="s">
        <v>190</v>
      </c>
      <c r="C161" s="9" t="str">
        <f t="shared" si="10"/>
        <v>https://x.com/huruit_mikeneko</v>
      </c>
      <c r="D161" s="18">
        <v>44682</v>
      </c>
      <c r="E161" s="25" t="str">
        <f t="shared" ca="1" si="11"/>
        <v>2年1ヵ月</v>
      </c>
      <c r="G161" s="20" t="s">
        <v>190</v>
      </c>
      <c r="H161" s="9" t="str">
        <f t="shared" si="12"/>
        <v>https://scratch.mit.edu/users/huru-tu/</v>
      </c>
      <c r="I161" s="14">
        <v>6</v>
      </c>
      <c r="J161" s="9" t="s">
        <v>422</v>
      </c>
      <c r="K161" s="13" t="str">
        <f t="shared" si="13"/>
        <v>2018/11/20</v>
      </c>
      <c r="L161" s="24" t="str">
        <f t="shared" ca="1" si="14"/>
        <v>5年6ヵ月17日</v>
      </c>
    </row>
    <row r="162" spans="1:12" x14ac:dyDescent="0.4">
      <c r="A162" s="17" t="s">
        <v>477</v>
      </c>
      <c r="B162" s="17" t="s">
        <v>478</v>
      </c>
      <c r="C162" s="9" t="str">
        <f t="shared" si="10"/>
        <v>https://x.com/I___bubble___I</v>
      </c>
      <c r="D162" s="18">
        <v>44927</v>
      </c>
      <c r="E162" s="25" t="str">
        <f t="shared" ca="1" si="11"/>
        <v>1年5ヵ月</v>
      </c>
      <c r="G162" s="20" t="s">
        <v>40</v>
      </c>
      <c r="H162" s="9" t="str">
        <f t="shared" si="12"/>
        <v>https://scratch.mit.edu/users/laggylaggy/</v>
      </c>
      <c r="I162" s="14">
        <v>6</v>
      </c>
      <c r="J162" s="9" t="s">
        <v>422</v>
      </c>
      <c r="K162" s="13" t="str">
        <f t="shared" si="13"/>
        <v>2021/11/08</v>
      </c>
      <c r="L162" s="24" t="str">
        <f t="shared" ca="1" si="14"/>
        <v>2年6ヵ月29日</v>
      </c>
    </row>
    <row r="163" spans="1:12" x14ac:dyDescent="0.4">
      <c r="A163" s="17" t="s">
        <v>191</v>
      </c>
      <c r="B163" s="17" t="s">
        <v>192</v>
      </c>
      <c r="C163" s="9" t="str">
        <f t="shared" si="10"/>
        <v>https://x.com/Jikky1618</v>
      </c>
      <c r="D163" s="18">
        <v>44256</v>
      </c>
      <c r="E163" s="25" t="str">
        <f t="shared" ca="1" si="11"/>
        <v>3年3ヵ月</v>
      </c>
      <c r="G163" s="20" t="s">
        <v>298</v>
      </c>
      <c r="H163" s="9" t="str">
        <f t="shared" si="12"/>
        <v>https://scratch.mit.edu/users/-Jikky-/</v>
      </c>
      <c r="I163" s="22">
        <v>6</v>
      </c>
      <c r="J163" s="17" t="s">
        <v>422</v>
      </c>
      <c r="K163" s="13" t="str">
        <f t="shared" si="13"/>
        <v>2020/05/12</v>
      </c>
      <c r="L163" s="24" t="str">
        <f t="shared" ca="1" si="14"/>
        <v>4年0ヵ月25日</v>
      </c>
    </row>
    <row r="164" spans="1:12" x14ac:dyDescent="0.4">
      <c r="A164" s="17" t="s">
        <v>382</v>
      </c>
      <c r="B164" s="17" t="s">
        <v>344</v>
      </c>
      <c r="C164" s="9" t="str">
        <f t="shared" si="10"/>
        <v>https://x.com/kakeruzoku</v>
      </c>
      <c r="D164" s="18">
        <v>44986</v>
      </c>
      <c r="E164" s="25" t="str">
        <f t="shared" ca="1" si="11"/>
        <v>1年3ヵ月</v>
      </c>
      <c r="G164" s="20" t="s">
        <v>345</v>
      </c>
      <c r="H164" s="9" t="str">
        <f t="shared" si="12"/>
        <v>https://scratch.mit.edu/users/-25kakeru-25/</v>
      </c>
      <c r="I164" s="22">
        <v>6</v>
      </c>
      <c r="J164" s="17" t="s">
        <v>422</v>
      </c>
      <c r="K164" s="13" t="str">
        <f t="shared" si="13"/>
        <v>2022/05/27</v>
      </c>
      <c r="L164" s="24" t="str">
        <f t="shared" ca="1" si="14"/>
        <v>2年0ヵ月10日</v>
      </c>
    </row>
    <row r="165" spans="1:12" x14ac:dyDescent="0.4">
      <c r="A165" s="17" t="s">
        <v>81</v>
      </c>
      <c r="B165" s="17" t="s">
        <v>432</v>
      </c>
      <c r="C165" s="9" t="str">
        <f t="shared" si="10"/>
        <v>https://x.com/kasasa1262716</v>
      </c>
      <c r="D165" s="18">
        <v>45108</v>
      </c>
      <c r="E165" s="25" t="str">
        <f t="shared" ca="1" si="11"/>
        <v>0年11ヵ月</v>
      </c>
      <c r="F165" s="19" t="s">
        <v>11</v>
      </c>
      <c r="G165" s="20" t="s">
        <v>302</v>
      </c>
      <c r="H165" s="9" t="str">
        <f t="shared" si="12"/>
        <v>https://scratch.mit.edu/users/kasasa01_2009sugu/</v>
      </c>
      <c r="I165" s="14">
        <v>6</v>
      </c>
      <c r="J165" s="9" t="s">
        <v>422</v>
      </c>
      <c r="K165" s="13" t="str">
        <f t="shared" si="13"/>
        <v>2022/12/19</v>
      </c>
      <c r="L165" s="24" t="str">
        <f t="shared" ca="1" si="14"/>
        <v>1年5ヵ月18日</v>
      </c>
    </row>
    <row r="166" spans="1:12" x14ac:dyDescent="0.4">
      <c r="A166" s="17" t="s">
        <v>199</v>
      </c>
      <c r="B166" s="17" t="s">
        <v>200</v>
      </c>
      <c r="C166" s="9" t="str">
        <f t="shared" si="10"/>
        <v>https://x.com/Keikeimania</v>
      </c>
      <c r="D166" s="18">
        <v>45017</v>
      </c>
      <c r="E166" s="25" t="str">
        <f t="shared" ca="1" si="11"/>
        <v>1年2ヵ月</v>
      </c>
      <c r="F166" s="19" t="s">
        <v>11</v>
      </c>
      <c r="G166" s="20" t="s">
        <v>304</v>
      </c>
      <c r="H166" s="9" t="str">
        <f t="shared" si="12"/>
        <v>https://scratch.mit.edu/users/kekelolo/</v>
      </c>
      <c r="I166" s="22">
        <v>6</v>
      </c>
      <c r="J166" s="17" t="s">
        <v>422</v>
      </c>
      <c r="K166" s="13" t="str">
        <f t="shared" si="13"/>
        <v>2017/07/29</v>
      </c>
      <c r="L166" s="24" t="str">
        <f t="shared" ca="1" si="14"/>
        <v>6年10ヵ月8日</v>
      </c>
    </row>
    <row r="167" spans="1:12" x14ac:dyDescent="0.4">
      <c r="A167" s="17" t="s">
        <v>381</v>
      </c>
      <c r="B167" s="17" t="s">
        <v>347</v>
      </c>
      <c r="C167" s="9" t="str">
        <f t="shared" si="10"/>
        <v>https://x.com/Kentanoojisan</v>
      </c>
      <c r="D167" s="18">
        <v>45017</v>
      </c>
      <c r="E167" s="25" t="str">
        <f t="shared" ca="1" si="11"/>
        <v>1年2ヵ月</v>
      </c>
      <c r="G167" s="20" t="s">
        <v>348</v>
      </c>
      <c r="H167" s="9" t="str">
        <f t="shared" si="12"/>
        <v>https://scratch.mit.edu/users/287228/</v>
      </c>
      <c r="I167" s="22">
        <v>6</v>
      </c>
      <c r="J167" s="17" t="s">
        <v>422</v>
      </c>
      <c r="K167" s="13" t="str">
        <f t="shared" si="13"/>
        <v>2022/01/05</v>
      </c>
      <c r="L167" s="24" t="str">
        <f t="shared" ca="1" si="14"/>
        <v>2年5ヵ月1日</v>
      </c>
    </row>
    <row r="168" spans="1:12" x14ac:dyDescent="0.4">
      <c r="A168" s="17" t="s">
        <v>79</v>
      </c>
      <c r="B168" s="17" t="s">
        <v>80</v>
      </c>
      <c r="C168" s="9" t="str">
        <f t="shared" si="10"/>
        <v>https://x.com/ketiketi87</v>
      </c>
      <c r="D168" s="18">
        <v>45261</v>
      </c>
      <c r="E168" s="25" t="str">
        <f t="shared" ca="1" si="11"/>
        <v>0年6ヵ月</v>
      </c>
      <c r="G168" s="20" t="s">
        <v>79</v>
      </c>
      <c r="H168" s="9" t="str">
        <f t="shared" si="12"/>
        <v>https://scratch.mit.edu/users/ketiketi87/</v>
      </c>
      <c r="I168" s="22">
        <v>6</v>
      </c>
      <c r="J168" s="17" t="s">
        <v>422</v>
      </c>
      <c r="K168" s="13" t="str">
        <f t="shared" si="13"/>
        <v>2018/10/10</v>
      </c>
      <c r="L168" s="24" t="str">
        <f t="shared" ca="1" si="14"/>
        <v>5年7ヵ月27日</v>
      </c>
    </row>
    <row r="169" spans="1:12" x14ac:dyDescent="0.4">
      <c r="A169" s="17" t="s">
        <v>494</v>
      </c>
      <c r="B169" s="17" t="s">
        <v>495</v>
      </c>
      <c r="C169" s="9" t="str">
        <f t="shared" si="10"/>
        <v>https://x.com/kicrage_Scratch</v>
      </c>
      <c r="D169" s="18">
        <v>45017</v>
      </c>
      <c r="E169" s="25" t="str">
        <f t="shared" ca="1" si="11"/>
        <v>1年2ヵ月</v>
      </c>
      <c r="G169" s="20" t="s">
        <v>322</v>
      </c>
      <c r="H169" s="9" t="str">
        <f t="shared" si="12"/>
        <v>https://scratch.mit.edu/users/kicrage_games/</v>
      </c>
      <c r="I169" s="22">
        <v>6</v>
      </c>
      <c r="J169" s="17" t="s">
        <v>422</v>
      </c>
      <c r="K169" s="13" t="str">
        <f t="shared" si="13"/>
        <v>2020/11/25</v>
      </c>
      <c r="L169" s="24" t="str">
        <f t="shared" ca="1" si="14"/>
        <v>3年6ヵ月12日</v>
      </c>
    </row>
    <row r="170" spans="1:12" x14ac:dyDescent="0.4">
      <c r="A170" s="17" t="s">
        <v>518</v>
      </c>
      <c r="B170" s="17" t="s">
        <v>519</v>
      </c>
      <c r="C170" s="9" t="str">
        <f t="shared" si="10"/>
        <v>https://x.com/kyonoserifu</v>
      </c>
      <c r="D170" s="18">
        <v>44774</v>
      </c>
      <c r="E170" s="22" t="str">
        <f t="shared" ca="1" si="11"/>
        <v>1年10ヵ月</v>
      </c>
      <c r="G170" s="20" t="s">
        <v>519</v>
      </c>
      <c r="H170" s="9" t="str">
        <f t="shared" si="12"/>
        <v>https://scratch.mit.edu/users/39kyoto/</v>
      </c>
      <c r="I170" s="22">
        <v>6</v>
      </c>
      <c r="J170" s="17" t="s">
        <v>422</v>
      </c>
      <c r="K170" s="13" t="str">
        <f t="shared" si="13"/>
        <v>2020/07/11</v>
      </c>
      <c r="L170" s="24" t="str">
        <f t="shared" ca="1" si="14"/>
        <v>3年10ヵ月26日</v>
      </c>
    </row>
    <row r="171" spans="1:12" x14ac:dyDescent="0.4">
      <c r="A171" s="17" t="s">
        <v>469</v>
      </c>
      <c r="B171" s="17" t="s">
        <v>470</v>
      </c>
      <c r="C171" s="9" t="str">
        <f t="shared" si="10"/>
        <v>https://x.com/lattefx_</v>
      </c>
      <c r="D171" s="18">
        <v>45323</v>
      </c>
      <c r="E171" s="22" t="str">
        <f t="shared" ca="1" si="11"/>
        <v>0年4ヵ月</v>
      </c>
      <c r="G171" s="20" t="s">
        <v>471</v>
      </c>
      <c r="H171" s="9" t="str">
        <f t="shared" si="12"/>
        <v>https://scratch.mit.edu/users/Lattefx_sabu/</v>
      </c>
      <c r="I171" s="22">
        <v>6</v>
      </c>
      <c r="J171" s="17" t="s">
        <v>422</v>
      </c>
      <c r="K171" s="13" t="str">
        <f t="shared" si="13"/>
        <v>2023/07/20</v>
      </c>
      <c r="L171" s="24" t="str">
        <f t="shared" ca="1" si="14"/>
        <v>0年10ヵ月17日</v>
      </c>
    </row>
    <row r="172" spans="1:12" x14ac:dyDescent="0.4">
      <c r="A172" s="17" t="s">
        <v>73</v>
      </c>
      <c r="B172" s="17" t="s">
        <v>439</v>
      </c>
      <c r="C172" s="9" t="str">
        <f t="shared" si="10"/>
        <v>https://x.com/mangagroup_Scra</v>
      </c>
      <c r="D172" s="18">
        <v>44866</v>
      </c>
      <c r="E172" s="25" t="str">
        <f t="shared" ca="1" si="11"/>
        <v>1年7ヵ月</v>
      </c>
      <c r="G172" s="20" t="s">
        <v>440</v>
      </c>
      <c r="H172" s="9" t="str">
        <f t="shared" si="12"/>
        <v>https://scratch.mit.edu/users/mangagroup/</v>
      </c>
      <c r="I172" s="22">
        <v>6</v>
      </c>
      <c r="J172" s="17" t="s">
        <v>422</v>
      </c>
      <c r="K172" s="13" t="str">
        <f t="shared" si="13"/>
        <v>2021/08/04</v>
      </c>
      <c r="L172" s="24" t="str">
        <f t="shared" ca="1" si="14"/>
        <v>2年10ヵ月2日</v>
      </c>
    </row>
    <row r="173" spans="1:12" x14ac:dyDescent="0.4">
      <c r="A173" s="17" t="s">
        <v>72</v>
      </c>
      <c r="B173" s="17" t="s">
        <v>71</v>
      </c>
      <c r="C173" s="9" t="str">
        <f t="shared" si="10"/>
        <v>https://x.com/matane_0913</v>
      </c>
      <c r="D173" s="18">
        <v>44743</v>
      </c>
      <c r="E173" s="25" t="str">
        <f t="shared" ca="1" si="11"/>
        <v>1年11ヵ月</v>
      </c>
      <c r="G173" s="20" t="s">
        <v>70</v>
      </c>
      <c r="H173" s="9" t="str">
        <f t="shared" si="12"/>
        <v>https://scratch.mit.edu/users/victoria_0913/</v>
      </c>
      <c r="I173" s="22">
        <v>6</v>
      </c>
      <c r="J173" s="17" t="s">
        <v>422</v>
      </c>
      <c r="K173" s="13" t="str">
        <f t="shared" si="13"/>
        <v>2023/08/25</v>
      </c>
      <c r="L173" s="24" t="str">
        <f t="shared" ca="1" si="14"/>
        <v>0年9ヵ月12日</v>
      </c>
    </row>
    <row r="174" spans="1:12" x14ac:dyDescent="0.4">
      <c r="A174" s="17" t="s">
        <v>410</v>
      </c>
      <c r="B174" s="17" t="s">
        <v>383</v>
      </c>
      <c r="C174" s="9" t="str">
        <f t="shared" si="10"/>
        <v>https://x.com/metaroro_H2</v>
      </c>
      <c r="D174" s="18">
        <v>44896</v>
      </c>
      <c r="E174" s="25" t="str">
        <f t="shared" ca="1" si="11"/>
        <v>1年6ヵ月</v>
      </c>
      <c r="G174" s="20" t="s">
        <v>384</v>
      </c>
      <c r="H174" s="9" t="str">
        <f t="shared" si="12"/>
        <v>https://scratch.mit.edu/users/dmmo-com-jp/</v>
      </c>
      <c r="I174" s="22">
        <v>6</v>
      </c>
      <c r="J174" s="17" t="s">
        <v>422</v>
      </c>
      <c r="K174" s="13" t="str">
        <f t="shared" si="13"/>
        <v>2022/06/08</v>
      </c>
      <c r="L174" s="24" t="str">
        <f t="shared" ca="1" si="14"/>
        <v>1年11ヵ月29日</v>
      </c>
    </row>
    <row r="175" spans="1:12" x14ac:dyDescent="0.4">
      <c r="A175" s="17" t="s">
        <v>220</v>
      </c>
      <c r="B175" s="17" t="s">
        <v>221</v>
      </c>
      <c r="C175" s="9" t="str">
        <f t="shared" si="10"/>
        <v>https://x.com/midegathor</v>
      </c>
      <c r="D175" s="18">
        <v>44986</v>
      </c>
      <c r="E175" s="25" t="str">
        <f t="shared" ca="1" si="11"/>
        <v>1年3ヵ月</v>
      </c>
      <c r="G175" s="20" t="s">
        <v>221</v>
      </c>
      <c r="H175" s="9" t="str">
        <f t="shared" si="12"/>
        <v>https://scratch.mit.edu/users/Midelplex/</v>
      </c>
      <c r="I175" s="22">
        <v>6</v>
      </c>
      <c r="J175" s="17" t="s">
        <v>422</v>
      </c>
      <c r="K175" s="13" t="str">
        <f t="shared" si="13"/>
        <v>2023/10/08</v>
      </c>
      <c r="L175" s="24" t="str">
        <f t="shared" ca="1" si="14"/>
        <v>0年7ヵ月29日</v>
      </c>
    </row>
    <row r="176" spans="1:12" x14ac:dyDescent="0.4">
      <c r="A176" s="17" t="s">
        <v>65</v>
      </c>
      <c r="B176" s="17" t="s">
        <v>64</v>
      </c>
      <c r="C176" s="9" t="str">
        <f t="shared" si="10"/>
        <v>https://x.com/mugidango___</v>
      </c>
      <c r="D176" s="18">
        <v>45261</v>
      </c>
      <c r="E176" s="25" t="str">
        <f t="shared" ca="1" si="11"/>
        <v>0年6ヵ月</v>
      </c>
      <c r="G176" s="20" t="s">
        <v>63</v>
      </c>
      <c r="H176" s="9" t="str">
        <f t="shared" si="12"/>
        <v>https://scratch.mit.edu/users/mugidango/</v>
      </c>
      <c r="I176" s="22">
        <v>6</v>
      </c>
      <c r="J176" s="17" t="s">
        <v>422</v>
      </c>
      <c r="K176" s="13" t="str">
        <f t="shared" si="13"/>
        <v>2023/09/05</v>
      </c>
      <c r="L176" s="24" t="str">
        <f t="shared" ca="1" si="14"/>
        <v>0年9ヵ月1日</v>
      </c>
    </row>
    <row r="177" spans="1:12" x14ac:dyDescent="0.4">
      <c r="A177" s="17" t="s">
        <v>62</v>
      </c>
      <c r="B177" s="17" t="s">
        <v>61</v>
      </c>
      <c r="C177" s="9" t="str">
        <f t="shared" si="10"/>
        <v>https://x.com/nekopro20</v>
      </c>
      <c r="D177" s="18">
        <v>45078</v>
      </c>
      <c r="E177" s="25" t="str">
        <f t="shared" ca="1" si="11"/>
        <v>1年0ヵ月</v>
      </c>
      <c r="G177" s="20" t="s">
        <v>60</v>
      </c>
      <c r="H177" s="9" t="str">
        <f t="shared" si="12"/>
        <v>https://scratch.mit.edu/users/honey-milk1/</v>
      </c>
      <c r="I177" s="22">
        <v>6</v>
      </c>
      <c r="J177" s="17" t="s">
        <v>422</v>
      </c>
      <c r="K177" s="13" t="str">
        <f t="shared" si="13"/>
        <v>2021/05/04</v>
      </c>
      <c r="L177" s="24" t="str">
        <f t="shared" ca="1" si="14"/>
        <v>3年1ヵ月2日</v>
      </c>
    </row>
    <row r="178" spans="1:12" x14ac:dyDescent="0.4">
      <c r="A178" s="17" t="s">
        <v>375</v>
      </c>
      <c r="B178" s="17" t="s">
        <v>339</v>
      </c>
      <c r="C178" s="9" t="str">
        <f t="shared" si="10"/>
        <v>https://x.com/netminn012</v>
      </c>
      <c r="D178" s="18">
        <v>45139</v>
      </c>
      <c r="E178" s="25" t="str">
        <f t="shared" ca="1" si="11"/>
        <v>0年10ヵ月</v>
      </c>
      <c r="G178" s="20" t="s">
        <v>338</v>
      </c>
      <c r="H178" s="9" t="str">
        <f t="shared" si="12"/>
        <v>https://scratch.mit.edu/users/netminn012/</v>
      </c>
      <c r="I178" s="22">
        <v>6</v>
      </c>
      <c r="J178" s="17" t="s">
        <v>422</v>
      </c>
      <c r="K178" s="13" t="str">
        <f t="shared" si="13"/>
        <v>2022/09/09</v>
      </c>
      <c r="L178" s="24" t="str">
        <f t="shared" ca="1" si="14"/>
        <v>1年8ヵ月28日</v>
      </c>
    </row>
    <row r="179" spans="1:12" x14ac:dyDescent="0.4">
      <c r="A179" s="17" t="s">
        <v>227</v>
      </c>
      <c r="B179" s="17" t="s">
        <v>228</v>
      </c>
      <c r="C179" s="9" t="str">
        <f t="shared" si="10"/>
        <v>https://x.com/NHHKkoppe</v>
      </c>
      <c r="D179" s="18">
        <v>44927</v>
      </c>
      <c r="E179" s="25" t="str">
        <f t="shared" ca="1" si="11"/>
        <v>1年5ヵ月</v>
      </c>
      <c r="G179" s="20" t="s">
        <v>317</v>
      </c>
      <c r="H179" s="9" t="str">
        <f t="shared" si="12"/>
        <v>https://scratch.mit.edu/users/koppepann_7698/</v>
      </c>
      <c r="I179" s="22">
        <v>6</v>
      </c>
      <c r="J179" s="17" t="s">
        <v>422</v>
      </c>
      <c r="K179" s="13" t="str">
        <f t="shared" si="13"/>
        <v>2022/03/25</v>
      </c>
      <c r="L179" s="24" t="str">
        <f t="shared" ca="1" si="14"/>
        <v>2年2ヵ月12日</v>
      </c>
    </row>
    <row r="180" spans="1:12" x14ac:dyDescent="0.4">
      <c r="A180" s="17" t="s">
        <v>461</v>
      </c>
      <c r="B180" s="17" t="s">
        <v>462</v>
      </c>
      <c r="C180" s="9" t="str">
        <f t="shared" si="10"/>
        <v>https://x.com/NiraTsukune</v>
      </c>
      <c r="D180" s="18">
        <v>45261</v>
      </c>
      <c r="E180" s="22" t="str">
        <f t="shared" ca="1" si="11"/>
        <v>0年6ヵ月</v>
      </c>
      <c r="G180" s="20" t="s">
        <v>461</v>
      </c>
      <c r="H180" s="9" t="str">
        <f t="shared" si="12"/>
        <v>https://scratch.mit.edu/users/NiraTsukune/</v>
      </c>
      <c r="I180" s="22">
        <v>6</v>
      </c>
      <c r="J180" s="17" t="s">
        <v>422</v>
      </c>
      <c r="K180" s="13" t="str">
        <f t="shared" si="13"/>
        <v>2022/10/16</v>
      </c>
      <c r="L180" s="24" t="str">
        <f t="shared" ca="1" si="14"/>
        <v>1年7ヵ月21日</v>
      </c>
    </row>
    <row r="181" spans="1:12" x14ac:dyDescent="0.4">
      <c r="A181" s="17" t="s">
        <v>235</v>
      </c>
      <c r="B181" s="17" t="s">
        <v>443</v>
      </c>
      <c r="C181" s="9" t="str">
        <f t="shared" si="10"/>
        <v>https://x.com/oldcoinmania</v>
      </c>
      <c r="D181" s="18">
        <v>44774</v>
      </c>
      <c r="E181" s="25" t="str">
        <f t="shared" ca="1" si="11"/>
        <v>1年10ヵ月</v>
      </c>
      <c r="G181" s="20" t="s">
        <v>320</v>
      </c>
      <c r="H181" s="9" t="str">
        <f t="shared" si="12"/>
        <v>https://scratch.mit.edu/users/Oldcoinmania/</v>
      </c>
      <c r="I181" s="22">
        <v>6</v>
      </c>
      <c r="J181" s="17" t="s">
        <v>422</v>
      </c>
      <c r="K181" s="13" t="str">
        <f t="shared" si="13"/>
        <v>2020/08/26</v>
      </c>
      <c r="L181" s="24" t="str">
        <f t="shared" ca="1" si="14"/>
        <v>3年9ヵ月11日</v>
      </c>
    </row>
    <row r="182" spans="1:12" x14ac:dyDescent="0.4">
      <c r="A182" s="17" t="s">
        <v>59</v>
      </c>
      <c r="B182" s="17" t="s">
        <v>444</v>
      </c>
      <c r="C182" s="9" t="str">
        <f t="shared" si="10"/>
        <v>https://x.com/omokai_scratch</v>
      </c>
      <c r="D182" s="18">
        <v>45078</v>
      </c>
      <c r="E182" s="25" t="str">
        <f t="shared" ca="1" si="11"/>
        <v>1年0ヵ月</v>
      </c>
      <c r="G182" s="20" t="s">
        <v>58</v>
      </c>
      <c r="H182" s="9" t="str">
        <f t="shared" si="12"/>
        <v>https://scratch.mit.edu/users/omokai/</v>
      </c>
      <c r="I182" s="22">
        <v>6</v>
      </c>
      <c r="J182" s="17" t="s">
        <v>422</v>
      </c>
      <c r="K182" s="13" t="str">
        <f t="shared" si="13"/>
        <v>2021/07/09</v>
      </c>
      <c r="L182" s="24" t="str">
        <f t="shared" ca="1" si="14"/>
        <v>2年10ヵ月28日</v>
      </c>
    </row>
    <row r="183" spans="1:12" x14ac:dyDescent="0.4">
      <c r="A183" s="17" t="s">
        <v>236</v>
      </c>
      <c r="B183" s="17" t="s">
        <v>236</v>
      </c>
      <c r="C183" s="9" t="str">
        <f t="shared" si="10"/>
        <v>https://x.com/oohara1910</v>
      </c>
      <c r="D183" s="18">
        <v>44805</v>
      </c>
      <c r="E183" s="25" t="str">
        <f t="shared" ca="1" si="11"/>
        <v>1年9ヵ月</v>
      </c>
      <c r="G183" s="20" t="s">
        <v>236</v>
      </c>
      <c r="H183" s="9" t="str">
        <f t="shared" si="12"/>
        <v>https://scratch.mit.edu/users/oohara1910/</v>
      </c>
      <c r="I183" s="22">
        <v>6</v>
      </c>
      <c r="J183" s="17" t="s">
        <v>422</v>
      </c>
      <c r="K183" s="13" t="str">
        <f t="shared" si="13"/>
        <v>2014/11/22</v>
      </c>
      <c r="L183" s="24" t="str">
        <f t="shared" ca="1" si="14"/>
        <v>9年6ヵ月15日</v>
      </c>
    </row>
    <row r="184" spans="1:12" x14ac:dyDescent="0.4">
      <c r="A184" s="17" t="s">
        <v>531</v>
      </c>
      <c r="B184" s="17" t="s">
        <v>532</v>
      </c>
      <c r="C184" s="9" t="str">
        <f t="shared" si="10"/>
        <v>https://x.com/poteto1534</v>
      </c>
      <c r="D184" s="18">
        <v>45139</v>
      </c>
      <c r="E184" s="22" t="str">
        <f t="shared" ca="1" si="11"/>
        <v>0年10ヵ月</v>
      </c>
      <c r="G184" s="20" t="s">
        <v>533</v>
      </c>
      <c r="H184" s="9" t="str">
        <f t="shared" si="12"/>
        <v>https://scratch.mit.edu/users/potepo_tomato/</v>
      </c>
      <c r="I184" s="22">
        <v>6</v>
      </c>
      <c r="J184" s="17" t="s">
        <v>422</v>
      </c>
      <c r="K184" s="13" t="str">
        <f t="shared" si="13"/>
        <v>2022/12/23</v>
      </c>
      <c r="L184" s="24" t="str">
        <f t="shared" ca="1" si="14"/>
        <v>1年5ヵ月14日</v>
      </c>
    </row>
    <row r="185" spans="1:12" x14ac:dyDescent="0.4">
      <c r="A185" s="17" t="s">
        <v>242</v>
      </c>
      <c r="B185" s="17" t="s">
        <v>243</v>
      </c>
      <c r="C185" s="9" t="str">
        <f t="shared" si="10"/>
        <v>https://x.com/rampotchi_</v>
      </c>
      <c r="D185" s="18">
        <v>44621</v>
      </c>
      <c r="E185" s="25" t="str">
        <f t="shared" ca="1" si="11"/>
        <v>2年3ヵ月</v>
      </c>
      <c r="G185" s="20" t="s">
        <v>323</v>
      </c>
      <c r="H185" s="9" t="str">
        <f t="shared" si="12"/>
        <v>https://scratch.mit.edu/users/rampotchi/</v>
      </c>
      <c r="I185" s="22">
        <v>6</v>
      </c>
      <c r="J185" s="17" t="s">
        <v>422</v>
      </c>
      <c r="K185" s="13" t="str">
        <f t="shared" si="13"/>
        <v>2023/02/12</v>
      </c>
      <c r="L185" s="24" t="str">
        <f t="shared" ca="1" si="14"/>
        <v>1年3ヵ月25日</v>
      </c>
    </row>
    <row r="186" spans="1:12" x14ac:dyDescent="0.4">
      <c r="A186" s="17" t="s">
        <v>374</v>
      </c>
      <c r="B186" s="17" t="s">
        <v>342</v>
      </c>
      <c r="C186" s="9" t="str">
        <f t="shared" si="10"/>
        <v>https://x.com/rip_kousan</v>
      </c>
      <c r="D186" s="18">
        <v>44835</v>
      </c>
      <c r="E186" s="25" t="str">
        <f t="shared" ca="1" si="11"/>
        <v>1年8ヵ月</v>
      </c>
      <c r="G186" s="20" t="s">
        <v>343</v>
      </c>
      <c r="H186" s="9" t="str">
        <f t="shared" si="12"/>
        <v>https://scratch.mit.edu/users/koukou38/</v>
      </c>
      <c r="I186" s="22">
        <v>6</v>
      </c>
      <c r="J186" s="17" t="s">
        <v>422</v>
      </c>
      <c r="K186" s="13" t="str">
        <f t="shared" si="13"/>
        <v>2019/09/10</v>
      </c>
      <c r="L186" s="24" t="str">
        <f t="shared" ca="1" si="14"/>
        <v>4年8ヵ月27日</v>
      </c>
    </row>
    <row r="187" spans="1:12" x14ac:dyDescent="0.4">
      <c r="A187" s="17" t="s">
        <v>48</v>
      </c>
      <c r="B187" s="17" t="s">
        <v>47</v>
      </c>
      <c r="C187" s="9" t="str">
        <f t="shared" si="10"/>
        <v>https://x.com/Robusuke_Shrimp</v>
      </c>
      <c r="D187" s="18">
        <v>44501</v>
      </c>
      <c r="E187" s="25" t="str">
        <f t="shared" ca="1" si="11"/>
        <v>2年7ヵ月</v>
      </c>
      <c r="G187" s="20" t="s">
        <v>46</v>
      </c>
      <c r="H187" s="9" t="str">
        <f t="shared" si="12"/>
        <v>https://scratch.mit.edu/users/Robusuke/</v>
      </c>
      <c r="I187" s="22">
        <v>6</v>
      </c>
      <c r="J187" s="17" t="s">
        <v>422</v>
      </c>
      <c r="K187" s="13" t="str">
        <f t="shared" si="13"/>
        <v>2022/02/05</v>
      </c>
      <c r="L187" s="24" t="str">
        <f t="shared" ca="1" si="14"/>
        <v>2年4ヵ月1日</v>
      </c>
    </row>
    <row r="188" spans="1:12" x14ac:dyDescent="0.4">
      <c r="A188" s="17" t="s">
        <v>534</v>
      </c>
      <c r="B188" s="17" t="s">
        <v>535</v>
      </c>
      <c r="C188" s="9" t="str">
        <f t="shared" si="10"/>
        <v>https://x.com/RRR_scratch</v>
      </c>
      <c r="D188" s="18">
        <v>44621</v>
      </c>
      <c r="E188" s="22" t="str">
        <f t="shared" ca="1" si="11"/>
        <v>2年3ヵ月</v>
      </c>
      <c r="G188" s="20" t="s">
        <v>536</v>
      </c>
      <c r="H188" s="9" t="str">
        <f t="shared" si="12"/>
        <v>https://scratch.mit.edu/users/RRR-scratch/</v>
      </c>
      <c r="I188" s="22">
        <v>6</v>
      </c>
      <c r="J188" s="17" t="s">
        <v>422</v>
      </c>
      <c r="K188" s="13" t="str">
        <f t="shared" si="13"/>
        <v>2020/11/29</v>
      </c>
      <c r="L188" s="24" t="str">
        <f t="shared" ca="1" si="14"/>
        <v>3年6ヵ月8日</v>
      </c>
    </row>
    <row r="189" spans="1:12" x14ac:dyDescent="0.4">
      <c r="A189" s="17" t="s">
        <v>520</v>
      </c>
      <c r="B189" s="17" t="s">
        <v>521</v>
      </c>
      <c r="C189" s="9" t="str">
        <f t="shared" si="10"/>
        <v>https://x.com/SC_kaaakeee</v>
      </c>
      <c r="D189" s="18">
        <v>45413</v>
      </c>
      <c r="E189" s="22" t="str">
        <f t="shared" ca="1" si="11"/>
        <v>0年1ヵ月</v>
      </c>
      <c r="G189" s="20" t="s">
        <v>522</v>
      </c>
      <c r="H189" s="9" t="str">
        <f t="shared" si="12"/>
        <v>https://scratch.mit.edu/users/kaaakeee/</v>
      </c>
      <c r="I189" s="22">
        <v>6</v>
      </c>
      <c r="J189" s="17" t="s">
        <v>422</v>
      </c>
      <c r="K189" s="13" t="str">
        <f t="shared" si="13"/>
        <v>2018/04/18</v>
      </c>
      <c r="L189" s="24" t="str">
        <f t="shared" ca="1" si="14"/>
        <v>6年1ヵ月19日</v>
      </c>
    </row>
    <row r="190" spans="1:12" x14ac:dyDescent="0.4">
      <c r="A190" s="17" t="s">
        <v>248</v>
      </c>
      <c r="B190" s="17" t="s">
        <v>249</v>
      </c>
      <c r="C190" s="9" t="str">
        <f t="shared" si="10"/>
        <v>https://x.com/Sc_Pikurin</v>
      </c>
      <c r="D190" s="18">
        <v>44774</v>
      </c>
      <c r="E190" s="25" t="str">
        <f t="shared" ca="1" si="11"/>
        <v>1年10ヵ月</v>
      </c>
      <c r="G190" s="20" t="s">
        <v>249</v>
      </c>
      <c r="H190" s="9" t="str">
        <f t="shared" si="12"/>
        <v>https://scratch.mit.edu/users/Pikurin/</v>
      </c>
      <c r="I190" s="22">
        <v>6</v>
      </c>
      <c r="J190" s="17" t="s">
        <v>422</v>
      </c>
      <c r="K190" s="13" t="str">
        <f t="shared" si="13"/>
        <v>2020/05/20</v>
      </c>
      <c r="L190" s="24" t="str">
        <f t="shared" ca="1" si="14"/>
        <v>4年0ヵ月17日</v>
      </c>
    </row>
    <row r="191" spans="1:12" x14ac:dyDescent="0.4">
      <c r="A191" s="17" t="s">
        <v>577</v>
      </c>
      <c r="B191" s="17" t="s">
        <v>578</v>
      </c>
      <c r="C191" s="9" t="str">
        <f t="shared" si="10"/>
        <v>https://x.com/scratch_U_08</v>
      </c>
      <c r="D191" s="18">
        <v>45108</v>
      </c>
      <c r="E191" s="22" t="str">
        <f t="shared" ca="1" si="11"/>
        <v>0年11ヵ月</v>
      </c>
      <c r="G191" s="20" t="s">
        <v>578</v>
      </c>
      <c r="H191" s="9" t="str">
        <f t="shared" si="12"/>
        <v>https://scratch.mit.edu/users/U-08/</v>
      </c>
      <c r="I191" s="22">
        <v>6</v>
      </c>
      <c r="J191" s="17" t="s">
        <v>422</v>
      </c>
      <c r="K191" s="13" t="str">
        <f t="shared" si="13"/>
        <v>2020/07/23</v>
      </c>
      <c r="L191" s="24" t="str">
        <f t="shared" ca="1" si="14"/>
        <v>3年10ヵ月14日</v>
      </c>
    </row>
    <row r="192" spans="1:12" x14ac:dyDescent="0.4">
      <c r="A192" s="17" t="s">
        <v>574</v>
      </c>
      <c r="B192" s="17" t="s">
        <v>575</v>
      </c>
      <c r="C192" s="9" t="str">
        <f t="shared" si="10"/>
        <v>https://x.com/scratch221171</v>
      </c>
      <c r="D192" s="18">
        <v>44682</v>
      </c>
      <c r="E192" s="22" t="str">
        <f t="shared" ca="1" si="11"/>
        <v>2年1ヵ月</v>
      </c>
      <c r="G192" s="20" t="s">
        <v>576</v>
      </c>
      <c r="H192" s="9" t="str">
        <f t="shared" si="12"/>
        <v>https://scratch.mit.edu/users/221171/</v>
      </c>
      <c r="I192" s="22">
        <v>6</v>
      </c>
      <c r="J192" s="17" t="s">
        <v>422</v>
      </c>
      <c r="K192" s="13" t="str">
        <f t="shared" si="13"/>
        <v>2021/04/27</v>
      </c>
      <c r="L192" s="24" t="str">
        <f t="shared" ca="1" si="14"/>
        <v>3年1ヵ月10日</v>
      </c>
    </row>
    <row r="193" spans="1:12" x14ac:dyDescent="0.4">
      <c r="A193" s="17" t="s">
        <v>371</v>
      </c>
      <c r="B193" s="17" t="s">
        <v>362</v>
      </c>
      <c r="C193" s="9" t="str">
        <f t="shared" si="10"/>
        <v>https://x.com/scratch3411</v>
      </c>
      <c r="D193" s="18">
        <v>45108</v>
      </c>
      <c r="E193" s="25" t="str">
        <f t="shared" ca="1" si="11"/>
        <v>0年11ヵ月</v>
      </c>
      <c r="G193" s="20" t="s">
        <v>363</v>
      </c>
      <c r="H193" s="9" t="str">
        <f t="shared" si="12"/>
        <v>https://scratch.mit.edu/users/hankyurenmei3/</v>
      </c>
      <c r="I193" s="22">
        <v>6</v>
      </c>
      <c r="J193" s="17" t="s">
        <v>422</v>
      </c>
      <c r="K193" s="13" t="str">
        <f t="shared" si="13"/>
        <v>2022/07/23</v>
      </c>
      <c r="L193" s="24" t="str">
        <f t="shared" ca="1" si="14"/>
        <v>1年10ヵ月14日</v>
      </c>
    </row>
    <row r="194" spans="1:12" x14ac:dyDescent="0.4">
      <c r="A194" s="17" t="s">
        <v>250</v>
      </c>
      <c r="B194" s="17" t="s">
        <v>251</v>
      </c>
      <c r="C194" s="9" t="str">
        <f t="shared" ref="C194:C202" si="15">"https://x.com/"&amp;A194</f>
        <v>https://x.com/scratchsatuma</v>
      </c>
      <c r="D194" s="18">
        <v>45047</v>
      </c>
      <c r="E194" s="25" t="str">
        <f t="shared" ref="E194:E202" ca="1" si="16">DATEDIF($D194,TODAY(),"y")&amp;"年"&amp;DATEDIF($D194,TODAY(),"YM")&amp;"ヵ月"</f>
        <v>1年1ヵ月</v>
      </c>
      <c r="G194" s="20" t="s">
        <v>326</v>
      </c>
      <c r="H194" s="9" t="str">
        <f t="shared" ref="H194:H202" si="17">"https://scratch.mit.edu/users/"&amp;G194&amp;"/"</f>
        <v>https://scratch.mit.edu/users/satumanooimo-nosuke/</v>
      </c>
      <c r="I194" s="22">
        <v>6</v>
      </c>
      <c r="J194" s="17" t="s">
        <v>422</v>
      </c>
      <c r="K194" s="13" t="str">
        <f t="shared" si="13"/>
        <v>2022/06/17</v>
      </c>
      <c r="L194" s="24" t="str">
        <f t="shared" ca="1" si="14"/>
        <v>1年11ヵ月20日</v>
      </c>
    </row>
    <row r="195" spans="1:12" x14ac:dyDescent="0.4">
      <c r="A195" s="17" t="s">
        <v>43</v>
      </c>
      <c r="B195" s="17" t="s">
        <v>42</v>
      </c>
      <c r="C195" s="9" t="str">
        <f t="shared" si="15"/>
        <v>https://x.com/Selene_Cosmo0</v>
      </c>
      <c r="D195" s="18">
        <v>45047</v>
      </c>
      <c r="E195" s="25" t="str">
        <f t="shared" ca="1" si="16"/>
        <v>1年1ヵ月</v>
      </c>
      <c r="G195" s="20" t="s">
        <v>41</v>
      </c>
      <c r="H195" s="9" t="str">
        <f t="shared" si="17"/>
        <v>https://scratch.mit.edu/users/_o0Seina0o_/</v>
      </c>
      <c r="I195" s="22">
        <v>6</v>
      </c>
      <c r="J195" s="17" t="s">
        <v>422</v>
      </c>
      <c r="K195" s="13" t="str">
        <f t="shared" ref="K195:K202" si="18">SUBSTITUTE(MID(_xlfn.WEBSERVICE("https://api.scratch.mit.edu/users/"&amp;$G195),FIND("joined",_xlfn.WEBSERVICE("https://api.scratch.mit.edu/users/"&amp;$G195))+9,10),"-","/")</f>
        <v>2023/05/10</v>
      </c>
      <c r="L195" s="24" t="str">
        <f t="shared" ref="L195:L202" ca="1" si="19">DATEDIF($K195,TODAY(),"y")&amp;"年"&amp;DATEDIF($K195,TODAY(),"YM")&amp;"ヵ月"&amp;DATEDIF($K195,TODAY(),"md")&amp;"日"</f>
        <v>1年0ヵ月27日</v>
      </c>
    </row>
    <row r="196" spans="1:12" x14ac:dyDescent="0.4">
      <c r="A196" s="17" t="s">
        <v>252</v>
      </c>
      <c r="B196" s="17" t="s">
        <v>253</v>
      </c>
      <c r="C196" s="9" t="str">
        <f t="shared" si="15"/>
        <v>https://x.com/siopanfactory</v>
      </c>
      <c r="D196" s="18">
        <v>45261</v>
      </c>
      <c r="E196" s="25" t="str">
        <f t="shared" ca="1" si="16"/>
        <v>0年6ヵ月</v>
      </c>
      <c r="G196" s="20" t="s">
        <v>327</v>
      </c>
      <c r="H196" s="9" t="str">
        <f t="shared" si="17"/>
        <v>https://scratch.mit.edu/users/siopan-1210/</v>
      </c>
      <c r="I196" s="22">
        <v>6</v>
      </c>
      <c r="J196" s="17" t="s">
        <v>422</v>
      </c>
      <c r="K196" s="13" t="str">
        <f t="shared" si="18"/>
        <v>2023/12/01</v>
      </c>
      <c r="L196" s="24" t="str">
        <f t="shared" ca="1" si="19"/>
        <v>0年6ヵ月5日</v>
      </c>
    </row>
    <row r="197" spans="1:12" x14ac:dyDescent="0.4">
      <c r="A197" s="17" t="s">
        <v>36</v>
      </c>
      <c r="B197" s="17" t="s">
        <v>35</v>
      </c>
      <c r="C197" s="9" t="str">
        <f t="shared" si="15"/>
        <v>https://x.com/Syobon0w0</v>
      </c>
      <c r="D197" s="18">
        <v>44317</v>
      </c>
      <c r="E197" s="25" t="str">
        <f t="shared" ca="1" si="16"/>
        <v>3年1ヵ月</v>
      </c>
      <c r="F197" s="19" t="s">
        <v>11</v>
      </c>
      <c r="G197" s="20" t="s">
        <v>34</v>
      </c>
      <c r="H197" s="9" t="str">
        <f t="shared" si="17"/>
        <v>https://scratch.mit.edu/users/doublescherry/</v>
      </c>
      <c r="I197" s="22">
        <v>6</v>
      </c>
      <c r="J197" s="17" t="s">
        <v>422</v>
      </c>
      <c r="K197" s="13" t="str">
        <f t="shared" si="18"/>
        <v>2018/09/04</v>
      </c>
      <c r="L197" s="24" t="str">
        <f t="shared" ca="1" si="19"/>
        <v>5年9ヵ月2日</v>
      </c>
    </row>
    <row r="198" spans="1:12" x14ac:dyDescent="0.4">
      <c r="A198" s="17" t="s">
        <v>258</v>
      </c>
      <c r="B198" s="17" t="s">
        <v>259</v>
      </c>
      <c r="C198" s="9" t="str">
        <f t="shared" si="15"/>
        <v>https://x.com/TAKA_no232323</v>
      </c>
      <c r="D198" s="18">
        <v>45170</v>
      </c>
      <c r="E198" s="25" t="str">
        <f t="shared" ca="1" si="16"/>
        <v>0年9ヵ月</v>
      </c>
      <c r="G198" s="20" t="s">
        <v>526</v>
      </c>
      <c r="H198" s="9" t="str">
        <f t="shared" si="17"/>
        <v>https://scratch.mit.edu/users/TAKA-kitsu/</v>
      </c>
      <c r="I198" s="22">
        <v>6</v>
      </c>
      <c r="J198" s="17" t="s">
        <v>422</v>
      </c>
      <c r="K198" s="13" t="str">
        <f t="shared" si="18"/>
        <v>2024/02/28</v>
      </c>
      <c r="L198" s="24" t="str">
        <f t="shared" ca="1" si="19"/>
        <v>0年3ヵ月9日</v>
      </c>
    </row>
    <row r="199" spans="1:12" ht="15" customHeight="1" x14ac:dyDescent="0.4">
      <c r="A199" s="17" t="s">
        <v>527</v>
      </c>
      <c r="B199" s="17" t="s">
        <v>528</v>
      </c>
      <c r="C199" s="9" t="str">
        <f t="shared" si="15"/>
        <v>https://x.com/tanabe1419675</v>
      </c>
      <c r="D199" s="18">
        <v>45413</v>
      </c>
      <c r="E199" s="22" t="str">
        <f t="shared" ca="1" si="16"/>
        <v>0年1ヵ月</v>
      </c>
      <c r="G199" s="20" t="s">
        <v>528</v>
      </c>
      <c r="H199" s="9" t="str">
        <f t="shared" si="17"/>
        <v>https://scratch.mit.edu/users/tanabe14/</v>
      </c>
      <c r="I199" s="22">
        <v>6</v>
      </c>
      <c r="J199" s="17" t="s">
        <v>422</v>
      </c>
      <c r="K199" s="13" t="str">
        <f t="shared" si="18"/>
        <v>2023/02/24</v>
      </c>
      <c r="L199" s="24" t="str">
        <f t="shared" ca="1" si="19"/>
        <v>1年3ヵ月13日</v>
      </c>
    </row>
    <row r="200" spans="1:12" x14ac:dyDescent="0.4">
      <c r="A200" s="17" t="s">
        <v>512</v>
      </c>
      <c r="B200" s="17" t="s">
        <v>513</v>
      </c>
      <c r="C200" s="9" t="str">
        <f t="shared" si="15"/>
        <v>https://x.com/ukitomoukinet</v>
      </c>
      <c r="D200" s="18">
        <v>44713</v>
      </c>
      <c r="E200" s="22" t="str">
        <f t="shared" ca="1" si="16"/>
        <v>2年0ヵ月</v>
      </c>
      <c r="G200" s="20" t="s">
        <v>514</v>
      </c>
      <c r="H200" s="9" t="str">
        <f t="shared" si="17"/>
        <v>https://scratch.mit.edu/users/okutopas/</v>
      </c>
      <c r="I200" s="22">
        <v>6</v>
      </c>
      <c r="J200" s="17" t="s">
        <v>422</v>
      </c>
      <c r="K200" s="13" t="str">
        <f t="shared" si="18"/>
        <v>2018/08/14</v>
      </c>
      <c r="L200" s="24" t="str">
        <f t="shared" ca="1" si="19"/>
        <v>5年9ヵ月23日</v>
      </c>
    </row>
    <row r="201" spans="1:12" x14ac:dyDescent="0.4">
      <c r="A201" s="17" t="s">
        <v>472</v>
      </c>
      <c r="B201" s="17" t="s">
        <v>473</v>
      </c>
      <c r="C201" s="9" t="str">
        <f t="shared" si="15"/>
        <v>https://x.com/uooooooooououo</v>
      </c>
      <c r="D201" s="18">
        <v>45200</v>
      </c>
      <c r="E201" s="22" t="str">
        <f t="shared" ca="1" si="16"/>
        <v>0年8ヵ月</v>
      </c>
      <c r="G201" s="20" t="s">
        <v>474</v>
      </c>
      <c r="H201" s="9" t="str">
        <f t="shared" si="17"/>
        <v>https://scratch.mit.edu/users/shachikou/</v>
      </c>
      <c r="I201" s="22">
        <v>6</v>
      </c>
      <c r="J201" s="17" t="s">
        <v>422</v>
      </c>
      <c r="K201" s="13" t="str">
        <f t="shared" si="18"/>
        <v>2018/05/13</v>
      </c>
      <c r="L201" s="24" t="str">
        <f t="shared" ca="1" si="19"/>
        <v>6年0ヵ月24日</v>
      </c>
    </row>
    <row r="202" spans="1:12" x14ac:dyDescent="0.4">
      <c r="A202" s="17" t="s">
        <v>491</v>
      </c>
      <c r="B202" s="17" t="s">
        <v>492</v>
      </c>
      <c r="C202" s="9" t="str">
        <f t="shared" si="15"/>
        <v>https://x.com/yuriy97028800</v>
      </c>
      <c r="D202" s="18">
        <v>44896</v>
      </c>
      <c r="E202" s="22" t="str">
        <f t="shared" ca="1" si="16"/>
        <v>1年6ヵ月</v>
      </c>
      <c r="G202" s="20" t="s">
        <v>493</v>
      </c>
      <c r="H202" s="9" t="str">
        <f t="shared" si="17"/>
        <v>https://scratch.mit.edu/users/buisupo_omura/</v>
      </c>
      <c r="I202" s="22">
        <v>6</v>
      </c>
      <c r="J202" s="17" t="s">
        <v>422</v>
      </c>
      <c r="K202" s="13" t="str">
        <f t="shared" si="18"/>
        <v>2022/12/25</v>
      </c>
      <c r="L202" s="24" t="str">
        <f t="shared" ca="1" si="19"/>
        <v>1年5ヵ月12日</v>
      </c>
    </row>
  </sheetData>
  <sortState xmlns:xlrd2="http://schemas.microsoft.com/office/spreadsheetml/2017/richdata2" ref="A2:M202">
    <sortCondition ref="I2:I202"/>
    <sortCondition ref="A2:A202"/>
  </sortState>
  <phoneticPr fontId="1"/>
  <conditionalFormatting sqref="A1:F1">
    <cfRule type="expression" dxfId="4" priority="6">
      <formula>COUNTIF(A$1,"*")&gt;0</formula>
    </cfRule>
  </conditionalFormatting>
  <conditionalFormatting sqref="A1:F1048576">
    <cfRule type="expression" dxfId="3" priority="8">
      <formula>IF(COUNTIF($A1,"*")&gt;0,MOD(ROW(),2)=1,)</formula>
    </cfRule>
  </conditionalFormatting>
  <conditionalFormatting sqref="A1:M1048576">
    <cfRule type="expression" dxfId="2" priority="13">
      <formula>COUNTIF($G1,"*")&gt;0</formula>
    </cfRule>
  </conditionalFormatting>
  <conditionalFormatting sqref="G1:M1">
    <cfRule type="expression" dxfId="1" priority="5">
      <formula>COUNTIF($E1,"*")&gt;0</formula>
    </cfRule>
  </conditionalFormatting>
  <conditionalFormatting sqref="G1:M1048576">
    <cfRule type="expression" dxfId="0" priority="7">
      <formula>IF(COUNTIF($G1,"*")&gt;0,MOD(ROW(),2)=1,)</formula>
    </cfRule>
  </conditionalFormatting>
  <printOptions horizontalCentered="1"/>
  <pageMargins left="0.25" right="0.25" top="0.75" bottom="0.75" header="0.3" footer="0.3"/>
  <pageSetup paperSize="9" scale="26" fitToHeight="0" orientation="landscape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まいっしゅ</dc:creator>
  <cp:lastModifiedBy>まいっしゅ</cp:lastModifiedBy>
  <cp:lastPrinted>2024-04-12T01:50:12Z</cp:lastPrinted>
  <dcterms:created xsi:type="dcterms:W3CDTF">2024-04-08T11:32:12Z</dcterms:created>
  <dcterms:modified xsi:type="dcterms:W3CDTF">2024-06-06T08:31:16Z</dcterms:modified>
</cp:coreProperties>
</file>